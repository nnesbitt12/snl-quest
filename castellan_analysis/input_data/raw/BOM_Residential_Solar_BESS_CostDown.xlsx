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M with Cost-Down" sheetId="1" r:id="rId5"/>
    <sheet state="visible" name="Cost-Down Summary" sheetId="2" r:id="rId6"/>
    <sheet state="visible" name="Notes &amp; Assumptions" sheetId="3" r:id="rId7"/>
  </sheets>
  <definedNames/>
  <calcPr/>
</workbook>
</file>

<file path=xl/sharedStrings.xml><?xml version="1.0" encoding="utf-8"?>
<sst xmlns="http://schemas.openxmlformats.org/spreadsheetml/2006/main" count="501" uniqueCount="317">
  <si>
    <t>Residential Solar + BESS Upgrade — BOM with Cost-Down Analysis</t>
  </si>
  <si>
    <t>75 kW PV array | ~650 kWh Li-ion BESS | 480V 3Ø | SMA Sunny Tripower CORE1 + Sunny Island cluster</t>
  </si>
  <si>
    <t>Category</t>
  </si>
  <si>
    <t>Item</t>
  </si>
  <si>
    <t>Description</t>
  </si>
  <si>
    <t>Qty</t>
  </si>
  <si>
    <t>Scope</t>
  </si>
  <si>
    <t>Current Est. ($CAD)</t>
  </si>
  <si>
    <t>Necessity</t>
  </si>
  <si>
    <t>Cost-Down Action</t>
  </si>
  <si>
    <t>Quoted Price (CAD)</t>
  </si>
  <si>
    <t>Total Price (CAD)</t>
  </si>
  <si>
    <t>Potential Savings ($CAD)</t>
  </si>
  <si>
    <t>Notes / Source</t>
  </si>
  <si>
    <t>Main Equipment</t>
  </si>
  <si>
    <t>PV Inverter</t>
  </si>
  <si>
    <t>SMA SunnyBoy 7.7kW</t>
  </si>
  <si>
    <t>PV</t>
  </si>
  <si>
    <t>ELIMINATE</t>
  </si>
  <si>
    <t>OUT OF SCOPE — remove from BOM (per client direction)</t>
  </si>
  <si>
    <t>Originally $12K (480V 3Ø). Confirm coverage by another scope/contractor.</t>
  </si>
  <si>
    <t>Battery Inverter</t>
  </si>
  <si>
    <t>LuxPower GEN-HB-US 25KW (parallel cluster)</t>
  </si>
  <si>
    <t>BATTERY</t>
  </si>
  <si>
    <t>REQUIRED</t>
  </si>
  <si>
    <t>Validate 5-unit cluster sizing vs. actual peak load — possible to reduce to 3-4 units? 3 units confirmed</t>
  </si>
  <si>
    <t>Grid-forming. Each Sunny Island ~$7K. Right-sizing could drop 1-2 units. right sized - LuxPower GEN-HB-US-25kW -qty 3, quote recieved</t>
  </si>
  <si>
    <t>Battery System</t>
  </si>
  <si>
    <t>48V Li-ion BESS (~650 kWh)</t>
  </si>
  <si>
    <t>1 system</t>
  </si>
  <si>
    <t>EXISTING</t>
  </si>
  <si>
    <t>No action — client already owns</t>
  </si>
  <si>
    <t>Sunk cost — excluded from active BOM total. Original quote was $520K.</t>
  </si>
  <si>
    <t>PV Modules</t>
  </si>
  <si>
    <t>~75 kW DC array (500W modules) 600V DC System</t>
  </si>
  <si>
    <t>150</t>
  </si>
  <si>
    <t>Spec 550W+ modules to reduce count to ~135 — saves on connectors, racking, labour 15kW per tracker - BO can be sourcing it</t>
  </si>
  <si>
    <t>$200/module is reasonable. Tier-2 brands could save further but check warranty terms.</t>
  </si>
  <si>
    <t>EMS Controller</t>
  </si>
  <si>
    <t>SMA Data Manager / Microgrid Controller</t>
  </si>
  <si>
    <t>1</t>
  </si>
  <si>
    <t>SHARED</t>
  </si>
  <si>
    <t>Keep — required for grid-forming coordination</t>
  </si>
  <si>
    <t>Recommended by SMA for multi-inverter clusters.</t>
  </si>
  <si>
    <t>PV DC Side</t>
  </si>
  <si>
    <t>PV Wire</t>
  </si>
  <si>
    <t>#10 AWG Cu PV Wire (USE-2)</t>
  </si>
  <si>
    <t>As req'd</t>
  </si>
  <si>
    <t>REVIEW</t>
  </si>
  <si>
    <t>Re-quote — $15K appears HIGH. ~450m of #10 PV wire for 75kW should be ~$1.5-3K. Needs to be confirmed on site with site visit from Rajib/BO/Arun after confirmation on PV module wattage/volt config (June)</t>
  </si>
  <si>
    <t>Verify takeoff. Likely overestimated by ~10x.</t>
  </si>
  <si>
    <t>Home Run</t>
  </si>
  <si>
    <t>4 AWG</t>
  </si>
  <si>
    <t>250 m</t>
  </si>
  <si>
    <t>Confirm voltage drop calc to validate 4 AWG vs 6 AWG - based on PV module wattage</t>
  </si>
  <si>
    <t>Reasonable. Gauge optimization could yield small savings.</t>
  </si>
  <si>
    <t>Connectors</t>
  </si>
  <si>
    <t>MC4 compatible</t>
  </si>
  <si>
    <t>310</t>
  </si>
  <si>
    <t>Use module-matched connectors to avoid type mismatch issues</t>
  </si>
  <si>
    <t>$5/connector — fair pricing. 310 = 150 modules x 2 + spares.</t>
  </si>
  <si>
    <t>DC Disconnect</t>
  </si>
  <si>
    <t>1000V DC isolator</t>
  </si>
  <si>
    <t>1-2</t>
  </si>
  <si>
    <t>REMOVE — CORE1 has integrated DC inputs. Confirm AHJ does not require external disconnect</t>
  </si>
  <si>
    <t>Note in original BOM flagged as Optional.</t>
  </si>
  <si>
    <t>Cable Management</t>
  </si>
  <si>
    <t>Conduit + tray + clips (underground rated)</t>
  </si>
  <si>
    <t>VE option: above-ground tray where feasible vs underground rated conduit</t>
  </si>
  <si>
    <t>Underground rated drives cost. Mostly PV DC runs — could split scope.</t>
  </si>
  <si>
    <t>Battery DC</t>
  </si>
  <si>
    <t>DC Busbar</t>
  </si>
  <si>
    <t>Copper busbar ≥1200 A</t>
  </si>
  <si>
    <t>2</t>
  </si>
  <si>
    <t>Keep — main + and - bus</t>
  </si>
  <si>
    <t>Standard for cluster of this size.</t>
  </si>
  <si>
    <t>Battery Rack Fuses</t>
  </si>
  <si>
    <t>250-300 A DC fuses</t>
  </si>
  <si>
    <t>8-12</t>
  </si>
  <si>
    <t>Choose either fuses OR breakers per rack — typically not both</t>
  </si>
  <si>
    <t>If rack breakers (next row) are kept, fuses become redundant. Confirm with BMS spec.</t>
  </si>
  <si>
    <t>Battery Rack Breaker</t>
  </si>
  <si>
    <t>250-300 A DC Breaker</t>
  </si>
  <si>
    <t>Keep breakers (preferred over fuses for resettable protection)</t>
  </si>
  <si>
    <t>If kept, eliminate fuses above for $2.2K savings.</t>
  </si>
  <si>
    <t>Battery Disconnect</t>
  </si>
  <si>
    <t>1200 A DC disconnect</t>
  </si>
  <si>
    <t>Keep — main isolation, code requirement</t>
  </si>
  <si>
    <t>Critical safety device.</t>
  </si>
  <si>
    <t>Battery Cables</t>
  </si>
  <si>
    <t>4/0 AWG Cu (or parallel sets)</t>
  </si>
  <si>
    <t>Explore aluminum equivalent where rack landings permit (~30-40% material savings)</t>
  </si>
  <si>
    <t>Cu pricing is volatile. Confirm OEM-approved Al lugs.</t>
  </si>
  <si>
    <t>BMS</t>
  </si>
  <si>
    <t>Integrated BMS</t>
  </si>
  <si>
    <t>Included with battery</t>
  </si>
  <si>
    <t>No cost — bundled.</t>
  </si>
  <si>
    <t>AC Power</t>
  </si>
  <si>
    <t>AC Main Panel</t>
  </si>
  <si>
    <t>480V 3Ø distribution panel</t>
  </si>
  <si>
    <t>CONFIRM client can re-use existing panel — original BOM flagged this as a possibility</t>
  </si>
  <si>
    <t>Largest single cost-down opportunity. Verify panel ampacity and breaker space.</t>
  </si>
  <si>
    <t>PV Feeder Cable</t>
  </si>
  <si>
    <t>#4 AWG Cu</t>
  </si>
  <si>
    <t>Keep — sized appropriately</t>
  </si>
  <si>
    <t>CORE1 to panel feeder.</t>
  </si>
  <si>
    <t>Battery Inverter Cable</t>
  </si>
  <si>
    <t>4/0 AWG Cu</t>
  </si>
  <si>
    <t>Re-quote with firm takeoff — original notes flag range as $2-12K (overestimated)</t>
  </si>
  <si>
    <t>Use mid-range $5K based on typical Sunny Island runs.</t>
  </si>
  <si>
    <t>Main Bus Cable</t>
  </si>
  <si>
    <t>3/0 AWG Cu</t>
  </si>
  <si>
    <t>Keep — panel distribution</t>
  </si>
  <si>
    <t>Standard sizing.</t>
  </si>
  <si>
    <t>Protection</t>
  </si>
  <si>
    <t>PV Breaker</t>
  </si>
  <si>
    <t>80 A, 3P</t>
  </si>
  <si>
    <t>Keep</t>
  </si>
  <si>
    <t>CORE1 output protection.</t>
  </si>
  <si>
    <t>Battery Inverter Breakers</t>
  </si>
  <si>
    <t>70 A, 3P</t>
  </si>
  <si>
    <t>5</t>
  </si>
  <si>
    <t>Keep — one per inverter</t>
  </si>
  <si>
    <t>Reduces if inverter count drops.</t>
  </si>
  <si>
    <t>Main Breaker</t>
  </si>
  <si>
    <t>150 A, 3P</t>
  </si>
  <si>
    <t>AC bus main.</t>
  </si>
  <si>
    <t>Surge Protection</t>
  </si>
  <si>
    <t>Type 1 or 2 SPD (AC &amp; DC)</t>
  </si>
  <si>
    <t>4</t>
  </si>
  <si>
    <t>RECOMMENDED</t>
  </si>
  <si>
    <t>Downgrade to Type 2 only on AC side if not required by code/insurance</t>
  </si>
  <si>
    <t>Type 1 typically only required if exposed to direct lightning.</t>
  </si>
  <si>
    <t>Grounding</t>
  </si>
  <si>
    <t>Ground Conductor</t>
  </si>
  <si>
    <t>#2 AWG Cu stranded</t>
  </si>
  <si>
    <t>350m</t>
  </si>
  <si>
    <t>Equipment grounding.</t>
  </si>
  <si>
    <t>Ground Rods</t>
  </si>
  <si>
    <t>5/8" x 8 ft Cu rods</t>
  </si>
  <si>
    <t>4-6</t>
  </si>
  <si>
    <t>Keep — original qty (46085) was a typo, corrected to 4-6</t>
  </si>
  <si>
    <t>Site dependent. Verify against soil resistivity.</t>
  </si>
  <si>
    <t>Ground Bus</t>
  </si>
  <si>
    <t>Copper ground bar</t>
  </si>
  <si>
    <t>Panel grounding.</t>
  </si>
  <si>
    <t>Labels &amp; Signage</t>
  </si>
  <si>
    <t>NEC/CEC compliant</t>
  </si>
  <si>
    <t>All cabinets</t>
  </si>
  <si>
    <t>Keep — code/safety compliance</t>
  </si>
  <si>
    <t>Non-negotiable for AHJ approval.</t>
  </si>
  <si>
    <t>Controls</t>
  </si>
  <si>
    <t>Monitoring System</t>
  </si>
  <si>
    <t>SMA monitoring portal</t>
  </si>
  <si>
    <t>Included with EMS</t>
  </si>
  <si>
    <t>Bundled — no cost.</t>
  </si>
  <si>
    <t>Energy Meter</t>
  </si>
  <si>
    <t>Internal PV/BESS meter</t>
  </si>
  <si>
    <t>REMOVE — site already has revenue-grade meter; original BOM flagged 'Not required'</t>
  </si>
  <si>
    <t>Quick win. Confirm client doesn't want internal monitoring view.</t>
  </si>
  <si>
    <t>Communication Cables</t>
  </si>
  <si>
    <t>Ethernet / RS485</t>
  </si>
  <si>
    <t>1000m</t>
  </si>
  <si>
    <t>Keep — inverter comms</t>
  </si>
  <si>
    <t>Validate run length — could trim if not full 1000m.</t>
  </si>
  <si>
    <t>Engineering</t>
  </si>
  <si>
    <t>Basic SLD + Layout + Prelim BOM</t>
  </si>
  <si>
    <t>PV design and integration included</t>
  </si>
  <si>
    <t>-</t>
  </si>
  <si>
    <t>Foundational deliverable.</t>
  </si>
  <si>
    <t>Detailed Electrical Design</t>
  </si>
  <si>
    <t>CEC compliance</t>
  </si>
  <si>
    <t>Required for permitting.</t>
  </si>
  <si>
    <t>Battery Integration &amp; Control Design</t>
  </si>
  <si>
    <t>Critical for grid-forming coordination.</t>
  </si>
  <si>
    <t>PEng Stamping</t>
  </si>
  <si>
    <t>If required by AHJ</t>
  </si>
  <si>
    <t>Confirm AHJ requirement — typically required at this scale</t>
  </si>
  <si>
    <t>Cost TBD. Budget $2-5K placeholder.</t>
  </si>
  <si>
    <t>Studies</t>
  </si>
  <si>
    <t>Short Circuit Study</t>
  </si>
  <si>
    <t>MOVE TO COST-DOWN — confirm AHJ requirement; defer if not mandatory</t>
  </si>
  <si>
    <t>Often bundled with Protection Study — see opportunity to combine.</t>
  </si>
  <si>
    <t>Protection Study</t>
  </si>
  <si>
    <t>If kept, bundle with SC Study for combined cost ~$8.5K vs $10.5K.</t>
  </si>
  <si>
    <t>Arc Flash Study</t>
  </si>
  <si>
    <t>MOVE TO COST-DOWN — confirm AHJ requirement; at 480V res/light commercial often not mandatory</t>
  </si>
  <si>
    <t>Original BOM noted $5K min if needed.</t>
  </si>
  <si>
    <t>Fire Suppression</t>
  </si>
  <si>
    <t>Battery room fire suppression</t>
  </si>
  <si>
    <t>MOVE TO COST-DOWN — eliminate scope by using outdoor/rated enclosure</t>
  </si>
  <si>
    <t>Cost TBD if required. Outdoor enclosure removes need entirely.</t>
  </si>
  <si>
    <t>Ventilation Study &amp; Upgrade</t>
  </si>
  <si>
    <t>MOVE TO COST-DOWN — eliminate scope by using outdoor enclosure</t>
  </si>
  <si>
    <t>Labour</t>
  </si>
  <si>
    <t>Labour and Trenching</t>
  </si>
  <si>
    <t>PV + BESS install</t>
  </si>
  <si>
    <t>Get firm quotes from 2-3 contractors; consider sub-scope splits</t>
  </si>
  <si>
    <t>Original range $55-100K. Used midpoint. Competitive bid could trim 10-15%.</t>
  </si>
  <si>
    <t>TOTALS</t>
  </si>
  <si>
    <t>Active BOM Total →</t>
  </si>
  <si>
    <t>Total Potential Savings →</t>
  </si>
  <si>
    <t>Optimized Target →</t>
  </si>
  <si>
    <t>SCOPE BREAKDOWN</t>
  </si>
  <si>
    <t>Current Cost</t>
  </si>
  <si>
    <t>Savings Identified</t>
  </si>
  <si>
    <t>Optimized Target</t>
  </si>
  <si>
    <t>HVAC</t>
  </si>
  <si>
    <t xml:space="preserve">mini-split </t>
  </si>
  <si>
    <t xml:space="preserve">2.5-3k </t>
  </si>
  <si>
    <t>15 kw split</t>
  </si>
  <si>
    <t xml:space="preserve">Senville </t>
  </si>
  <si>
    <t xml:space="preserve">5-10k </t>
  </si>
  <si>
    <t>Cost-Down Opportunities — Ranked by Impact</t>
  </si>
  <si>
    <t>Rank</t>
  </si>
  <si>
    <t>Opportunity</t>
  </si>
  <si>
    <t>Type</t>
  </si>
  <si>
    <t>Effort</t>
  </si>
  <si>
    <t>Savings ($CAD)</t>
  </si>
  <si>
    <t>Decision Owner / Action</t>
  </si>
  <si>
    <t>Re-use existing AC main panel</t>
  </si>
  <si>
    <t>Eliminate</t>
  </si>
  <si>
    <t>Low</t>
  </si>
  <si>
    <t>Client confirmation — verify panel ampacity and available breaker space</t>
  </si>
  <si>
    <t>Remove PV Inverter (out of scope)</t>
  </si>
  <si>
    <t>Client confirmed — covered by another scope/contractor</t>
  </si>
  <si>
    <t>Re-quote PV Wire (likely 10x overestimated)</t>
  </si>
  <si>
    <t>Re-quote</t>
  </si>
  <si>
    <t>Procurement — get firm vendor quote based on actual takeoff</t>
  </si>
  <si>
    <t>Defer Arc Flash Study if AHJ allows</t>
  </si>
  <si>
    <t>Engineering — confirm AHJ requirement at 480V residential</t>
  </si>
  <si>
    <t>Defer Protection Study if AHJ allows</t>
  </si>
  <si>
    <t>Engineering — confirm AHJ requirement; bundle with SC if both kept</t>
  </si>
  <si>
    <t>Right-size battery inverter cluster (5 → 3-4)</t>
  </si>
  <si>
    <t>Re-spec</t>
  </si>
  <si>
    <t>Medium</t>
  </si>
  <si>
    <t>Engineering — load analysis to validate peak demand</t>
  </si>
  <si>
    <t>Aluminum battery cabling where permitted</t>
  </si>
  <si>
    <t>Substitute</t>
  </si>
  <si>
    <t>Engineering — confirm OEM-approved Al lugs at rack landings</t>
  </si>
  <si>
    <t>Refine Battery Inverter Cable takeoff</t>
  </si>
  <si>
    <t>Procurement — get firm takeoff from layout</t>
  </si>
  <si>
    <t>Above-ground cable tray vs underground</t>
  </si>
  <si>
    <t>Engineering — site walk to identify above-ground runs</t>
  </si>
  <si>
    <t>Defer Short Circuit Study if AHJ allows</t>
  </si>
  <si>
    <t>Engineering — confirm AHJ requirement</t>
  </si>
  <si>
    <t>Eliminate redundant rack fuses (keep breakers)</t>
  </si>
  <si>
    <t>Engineering — confirm BMS spec doesn't require both</t>
  </si>
  <si>
    <t>Spec 550W+ PV modules (reduce count)</t>
  </si>
  <si>
    <t>Procurement — verify module availability and warranty</t>
  </si>
  <si>
    <t>Eliminate internal energy meter</t>
  </si>
  <si>
    <t>Client confirmation — site has revenue-grade meter</t>
  </si>
  <si>
    <t>Eliminate redundant external DC disconnect</t>
  </si>
  <si>
    <t>Engineering — confirm CORE1 integrated input meets AHJ</t>
  </si>
  <si>
    <t>Downgrade Type 1 SPD to Type 2 (AC side)</t>
  </si>
  <si>
    <t>Engineering — confirm lightning exposure assessment</t>
  </si>
  <si>
    <t>Optimize home run gauge (4 → 6 AWG if VD permits)</t>
  </si>
  <si>
    <t>Engineering — voltage drop calc</t>
  </si>
  <si>
    <t>Eliminate Fire Suppression scope (outdoor enclosure)</t>
  </si>
  <si>
    <t>Engineering — spec outdoor/rated battery enclosure (avoids unknown future cost)</t>
  </si>
  <si>
    <t>Eliminate Ventilation scope (outdoor enclosure)</t>
  </si>
  <si>
    <t>Competitive bid for labour/trenching</t>
  </si>
  <si>
    <t>Procurement — solicit 2-3 quotes; consider scope splits</t>
  </si>
  <si>
    <t>TOTAL POTENTIAL SAVINGS →</t>
  </si>
  <si>
    <t>QUICK WINS (Low effort, immediate)</t>
  </si>
  <si>
    <t>Low-effort items totalling ~$73,400 — these require only client/AHJ confirmations and re-quotes, no design changes:</t>
  </si>
  <si>
    <t>• AC panel re-use ($12K)  • Remove PV Inverter ($12K)  • PV wire re-quote ($11K)  • Arc flash deferral ($8K)  • Protection study deferral ($7.5K)  • Battery inverter cable re-quote ($5K)  • Short circuit study deferral ($3K)  • Eliminate fuses ($2.2K)  • Module re-spec ($2K)  • Eliminate energy meter ($2K)  • Eliminate DC disconnect ($1.2K)  • Downgrade SPD ($1K)  • Home run gauge ($0.5K)</t>
  </si>
  <si>
    <t>Notes, Assumptions &amp; Data Hygiene</t>
  </si>
  <si>
    <t>LEGEND</t>
  </si>
  <si>
    <t>Core to system function or code/safety compliance — keep as-is</t>
  </si>
  <si>
    <t>Best practice but reducible — review for cost-down</t>
  </si>
  <si>
    <t>OPTIONAL</t>
  </si>
  <si>
    <t>Nice-to-have, can be eliminated without functional impact</t>
  </si>
  <si>
    <t>Pricing, sizing, or necessity needs validation before proceeding</t>
  </si>
  <si>
    <t>Confirmed candidate for removal — quick win</t>
  </si>
  <si>
    <t>Already owned by client — no active cost</t>
  </si>
  <si>
    <t>DATA HYGIENE FIXES FROM ORIGINAL BOM</t>
  </si>
  <si>
    <t>Ground Rods qty</t>
  </si>
  <si>
    <t>Original showed '46085' — corrected to 4-6 (typo)</t>
  </si>
  <si>
    <t>PV Inverter row</t>
  </si>
  <si>
    <t>Original had stray '1.5' value at end of row — removed</t>
  </si>
  <si>
    <t>Prices in Notes column</t>
  </si>
  <si>
    <t>Pricing in 'Notes' column moved to dedicated price column</t>
  </si>
  <si>
    <t>Battery System ($520K)</t>
  </si>
  <si>
    <t>Marked EXISTING — excluded from active total since client already owns</t>
  </si>
  <si>
    <t>Labour cost</t>
  </si>
  <si>
    <t>Original showed range '$55,000-$100,000' — used midpoint $77,500 for analysis</t>
  </si>
  <si>
    <t>KEY ASSUMPTIONS</t>
  </si>
  <si>
    <t>System voltage</t>
  </si>
  <si>
    <t>480V 3Ø confirmed throughout</t>
  </si>
  <si>
    <t>Battery chemistry</t>
  </si>
  <si>
    <t>Li-ion (assumed — confirms BMS, fire safety, ventilation requirements)</t>
  </si>
  <si>
    <t>Site type</t>
  </si>
  <si>
    <t>Residential (with light commercial characteristics given 75kW PV / 650 kWh BESS)</t>
  </si>
  <si>
    <t>Currency</t>
  </si>
  <si>
    <t>All values in CAD</t>
  </si>
  <si>
    <t>AHJ</t>
  </si>
  <si>
    <t>Assumed Ontario ESA — confirm specific jurisdiction for code-driven items</t>
  </si>
  <si>
    <t>ITEMS REQUIRING CLIENT/AHJ DECISIONS</t>
  </si>
  <si>
    <t>Existing AC panel re-use</t>
  </si>
  <si>
    <t>Single largest savings — needs client confirmation</t>
  </si>
  <si>
    <t>Arc Flash Study requirement</t>
  </si>
  <si>
    <t>$8K item — confirm with AHJ whether mandatory</t>
  </si>
  <si>
    <t>Cost TBD — typically required at this scale</t>
  </si>
  <si>
    <t>Fire Safety scope</t>
  </si>
  <si>
    <t>Cost TBD — depends on battery enclosure type/location</t>
  </si>
  <si>
    <t>Ventilation scope</t>
  </si>
  <si>
    <t>Cost TBD — outdoor enclosure can eliminate scope</t>
  </si>
  <si>
    <t>ITEMS NOT IN ORIGINAL BOM (FLAG FOR REVIEW)</t>
  </si>
  <si>
    <t>Permitting fees</t>
  </si>
  <si>
    <t>Not listed — typically $500-2,000</t>
  </si>
  <si>
    <t>Commissioning &amp; testing</t>
  </si>
  <si>
    <t>Not listed separately — confirm if bundled in labour</t>
  </si>
  <si>
    <t>Spare parts / warranty</t>
  </si>
  <si>
    <t>Not listed — consider 2-5% spares budget</t>
  </si>
  <si>
    <t>Contingency</t>
  </si>
  <si>
    <t>No contingency line — recommend 10% of hard costs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</si>
</sst>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$#,##0;&quot;($&quot;#,##0\);\-"/>
  </numFmts>
  <fonts count="17">
    <font>
      <sz val="11.0"/>
      <color theme="1"/>
      <name val="Calibri"/>
      <scheme val="minor"/>
    </font>
    <font>
      <b/>
      <sz val="14.0"/>
      <color rgb="FFFFFFFF"/>
      <name val="Arial"/>
    </font>
    <font/>
    <font>
      <i/>
      <sz val="10.0"/>
      <color rgb="FF595959"/>
      <name val="Arial"/>
    </font>
    <font>
      <b/>
      <sz val="11.0"/>
      <color rgb="FFFFFFFF"/>
      <name val="Arial"/>
    </font>
    <font>
      <sz val="10.0"/>
      <color theme="1"/>
      <name val="Arial"/>
    </font>
    <font>
      <b/>
      <sz val="9.0"/>
      <color theme="1"/>
      <name val="Arial"/>
    </font>
    <font>
      <b/>
      <sz val="10.0"/>
      <color rgb="FF006100"/>
      <name val="Arial"/>
    </font>
    <font>
      <b/>
      <sz val="11.0"/>
      <color theme="1"/>
      <name val="Arial"/>
    </font>
    <font>
      <b/>
      <sz val="11.0"/>
      <color rgb="FF006100"/>
      <name val="Arial"/>
    </font>
    <font>
      <b/>
      <sz val="10.0"/>
      <color theme="1"/>
      <name val="Arial"/>
    </font>
    <font>
      <color theme="1"/>
      <name val="Calibri"/>
      <scheme val="minor"/>
    </font>
    <font>
      <sz val="11.0"/>
      <color theme="1"/>
      <name val="Calibri"/>
    </font>
    <font>
      <b/>
      <sz val="12.0"/>
      <color rgb="FF006100"/>
      <name val="Arial"/>
    </font>
    <font>
      <b/>
      <sz val="12.0"/>
      <color rgb="FFFFFFFF"/>
      <name val="Arial"/>
    </font>
    <font>
      <i/>
      <sz val="10.0"/>
      <color theme="1"/>
      <name val="Arial"/>
    </font>
    <font>
      <b/>
      <sz val="11.0"/>
      <color rgb="FF1F4E78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E699"/>
        <bgColor rgb="FFFFE699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BDD7EE"/>
        <bgColor rgb="FFBDD7EE"/>
      </patternFill>
    </fill>
    <fill>
      <patternFill patternType="solid">
        <fgColor rgb="FFD9D9D9"/>
        <bgColor rgb="FFD9D9D9"/>
      </patternFill>
    </fill>
    <fill>
      <patternFill patternType="solid">
        <fgColor rgb="FFE2EFDA"/>
        <bgColor rgb="FFE2EFDA"/>
      </patternFill>
    </fill>
    <fill>
      <patternFill patternType="solid">
        <fgColor rgb="FFFFEB9C"/>
        <bgColor rgb="FFFFEB9C"/>
      </patternFill>
    </fill>
    <fill>
      <patternFill patternType="solid">
        <fgColor rgb="FFD9E1F2"/>
        <bgColor rgb="FFD9E1F2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bottom" wrapText="0"/>
    </xf>
    <xf borderId="4" fillId="2" fontId="4" numFmtId="0" xfId="0" applyAlignment="1" applyBorder="1" applyFont="1">
      <alignment horizontal="center" shrinkToFit="0" vertical="center" wrapText="1"/>
    </xf>
    <xf borderId="4" fillId="2" fontId="4" numFmtId="0" xfId="0" applyAlignment="1" applyBorder="1" applyFont="1">
      <alignment horizontal="center" readingOrder="0" shrinkToFit="0" vertical="center" wrapText="1"/>
    </xf>
    <xf borderId="4" fillId="0" fontId="5" numFmtId="0" xfId="0" applyAlignment="1" applyBorder="1" applyFont="1">
      <alignment shrinkToFit="0" vertical="top" wrapText="1"/>
    </xf>
    <xf borderId="4" fillId="0" fontId="5" numFmtId="0" xfId="0" applyAlignment="1" applyBorder="1" applyFont="1">
      <alignment readingOrder="0" shrinkToFit="0" vertical="top" wrapText="1"/>
    </xf>
    <xf borderId="4" fillId="3" fontId="6" numFmtId="0" xfId="0" applyAlignment="1" applyBorder="1" applyFill="1" applyFont="1">
      <alignment horizontal="center" shrinkToFit="0" vertical="center" wrapText="1"/>
    </xf>
    <xf borderId="4" fillId="0" fontId="5" numFmtId="164" xfId="0" applyAlignment="1" applyBorder="1" applyFont="1" applyNumberFormat="1">
      <alignment shrinkToFit="0" vertical="top" wrapText="1"/>
    </xf>
    <xf borderId="4" fillId="4" fontId="6" numFmtId="0" xfId="0" applyAlignment="1" applyBorder="1" applyFill="1" applyFont="1">
      <alignment horizontal="center" shrinkToFit="0" vertical="center" wrapText="1"/>
    </xf>
    <xf borderId="4" fillId="5" fontId="7" numFmtId="164" xfId="0" applyAlignment="1" applyBorder="1" applyFill="1" applyFont="1" applyNumberFormat="1">
      <alignment readingOrder="0" shrinkToFit="0" vertical="top" wrapText="1"/>
    </xf>
    <xf borderId="4" fillId="5" fontId="7" numFmtId="164" xfId="0" applyAlignment="1" applyBorder="1" applyFont="1" applyNumberFormat="1">
      <alignment shrinkToFit="0" vertical="top" wrapText="1"/>
    </xf>
    <xf borderId="4" fillId="6" fontId="6" numFmtId="0" xfId="0" applyAlignment="1" applyBorder="1" applyFill="1" applyFont="1">
      <alignment horizontal="center" shrinkToFit="0" vertical="center" wrapText="1"/>
    </xf>
    <xf borderId="4" fillId="5" fontId="6" numFmtId="0" xfId="0" applyAlignment="1" applyBorder="1" applyFont="1">
      <alignment horizontal="center" shrinkToFit="0" vertical="center" wrapText="1"/>
    </xf>
    <xf borderId="4" fillId="7" fontId="6" numFmtId="0" xfId="0" applyAlignment="1" applyBorder="1" applyFill="1" applyFont="1">
      <alignment horizontal="center" shrinkToFit="0" vertical="center" wrapText="1"/>
    </xf>
    <xf borderId="4" fillId="0" fontId="5" numFmtId="164" xfId="0" applyAlignment="1" applyBorder="1" applyFont="1" applyNumberFormat="1">
      <alignment readingOrder="0" shrinkToFit="0" vertical="top" wrapText="1"/>
    </xf>
    <xf borderId="4" fillId="8" fontId="6" numFmtId="0" xfId="0" applyAlignment="1" applyBorder="1" applyFill="1" applyFont="1">
      <alignment horizontal="center" shrinkToFit="0" vertical="center" wrapText="1"/>
    </xf>
    <xf borderId="4" fillId="9" fontId="6" numFmtId="0" xfId="0" applyAlignment="1" applyBorder="1" applyFill="1" applyFont="1">
      <alignment horizontal="center" shrinkToFit="0" vertical="center" wrapText="1"/>
    </xf>
    <xf borderId="4" fillId="9" fontId="6" numFmtId="0" xfId="0" applyAlignment="1" applyBorder="1" applyFont="1">
      <alignment horizontal="center" readingOrder="0" shrinkToFit="0" vertical="center" wrapText="1"/>
    </xf>
    <xf borderId="4" fillId="4" fontId="6" numFmtId="0" xfId="0" applyAlignment="1" applyBorder="1" applyFont="1">
      <alignment horizontal="center" readingOrder="0" shrinkToFit="0" vertical="center" wrapText="1"/>
    </xf>
    <xf borderId="4" fillId="3" fontId="8" numFmtId="0" xfId="0" applyAlignment="1" applyBorder="1" applyFont="1">
      <alignment shrinkToFit="0" vertical="bottom" wrapText="0"/>
    </xf>
    <xf borderId="4" fillId="3" fontId="8" numFmtId="0" xfId="0" applyAlignment="1" applyBorder="1" applyFont="1">
      <alignment horizontal="right" shrinkToFit="0" vertical="bottom" wrapText="0"/>
    </xf>
    <xf borderId="4" fillId="3" fontId="8" numFmtId="164" xfId="0" applyAlignment="1" applyBorder="1" applyFont="1" applyNumberFormat="1">
      <alignment shrinkToFit="0" vertical="bottom" wrapText="0"/>
    </xf>
    <xf borderId="0" fillId="0" fontId="8" numFmtId="0" xfId="0" applyAlignment="1" applyFont="1">
      <alignment horizontal="right" shrinkToFit="0" vertical="bottom" wrapText="0"/>
    </xf>
    <xf borderId="4" fillId="5" fontId="9" numFmtId="164" xfId="0" applyAlignment="1" applyBorder="1" applyFont="1" applyNumberFormat="1">
      <alignment shrinkToFit="0" vertical="bottom" wrapText="0"/>
    </xf>
    <xf borderId="1" fillId="2" fontId="4" numFmtId="0" xfId="0" applyAlignment="1" applyBorder="1" applyFont="1">
      <alignment shrinkToFit="0" vertical="bottom" wrapText="0"/>
    </xf>
    <xf borderId="4" fillId="10" fontId="10" numFmtId="0" xfId="0" applyAlignment="1" applyBorder="1" applyFill="1" applyFont="1">
      <alignment horizontal="center" shrinkToFit="0" vertical="bottom" wrapText="0"/>
    </xf>
    <xf borderId="4" fillId="3" fontId="10" numFmtId="0" xfId="0" applyAlignment="1" applyBorder="1" applyFont="1">
      <alignment horizontal="center" shrinkToFit="0" vertical="bottom" wrapText="0"/>
    </xf>
    <xf borderId="4" fillId="0" fontId="5" numFmtId="164" xfId="0" applyAlignment="1" applyBorder="1" applyFont="1" applyNumberFormat="1">
      <alignment horizontal="right" shrinkToFit="0" vertical="bottom" wrapText="0"/>
    </xf>
    <xf borderId="0" fillId="0" fontId="5" numFmtId="164" xfId="0" applyAlignment="1" applyFont="1" applyNumberFormat="1">
      <alignment horizontal="right" shrinkToFit="0" vertical="bottom" wrapText="0"/>
    </xf>
    <xf borderId="4" fillId="6" fontId="10" numFmtId="0" xfId="0" applyAlignment="1" applyBorder="1" applyFont="1">
      <alignment horizontal="center" shrinkToFit="0" vertical="bottom" wrapText="0"/>
    </xf>
    <xf borderId="4" fillId="8" fontId="10" numFmtId="0" xfId="0" applyAlignment="1" applyBorder="1" applyFont="1">
      <alignment horizontal="center" shrinkToFit="0" vertical="bottom" wrapText="0"/>
    </xf>
    <xf borderId="0" fillId="0" fontId="11" numFmtId="0" xfId="0" applyAlignment="1" applyFont="1">
      <alignment readingOrder="0"/>
    </xf>
    <xf borderId="4" fillId="0" fontId="5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left" shrinkToFit="0" vertical="center" wrapText="1"/>
    </xf>
    <xf borderId="4" fillId="5" fontId="7" numFmtId="164" xfId="0" applyAlignment="1" applyBorder="1" applyFont="1" applyNumberFormat="1">
      <alignment horizontal="center" shrinkToFit="0" vertical="center" wrapText="1"/>
    </xf>
    <xf borderId="4" fillId="0" fontId="5" numFmtId="164" xfId="0" applyAlignment="1" applyBorder="1" applyFont="1" applyNumberFormat="1">
      <alignment horizontal="center" shrinkToFit="0" vertical="center" wrapText="1"/>
    </xf>
    <xf borderId="4" fillId="3" fontId="12" numFmtId="0" xfId="0" applyAlignment="1" applyBorder="1" applyFont="1">
      <alignment shrinkToFit="0" vertical="bottom" wrapText="0"/>
    </xf>
    <xf borderId="4" fillId="3" fontId="13" numFmtId="164" xfId="0" applyAlignment="1" applyBorder="1" applyFont="1" applyNumberFormat="1">
      <alignment shrinkToFit="0" vertical="bottom" wrapText="0"/>
    </xf>
    <xf borderId="1" fillId="2" fontId="14" numFmtId="0" xfId="0" applyAlignment="1" applyBorder="1" applyFont="1">
      <alignment shrinkToFit="0" vertical="bottom" wrapText="0"/>
    </xf>
    <xf borderId="0" fillId="0" fontId="15" numFmtId="0" xfId="0" applyAlignment="1" applyFont="1">
      <alignment shrinkToFit="0" vertical="bottom" wrapText="0"/>
    </xf>
    <xf borderId="0" fillId="0" fontId="5" numFmtId="0" xfId="0" applyAlignment="1" applyFont="1">
      <alignment shrinkToFit="0" vertical="top" wrapText="1"/>
    </xf>
    <xf borderId="5" fillId="10" fontId="16" numFmtId="0" xfId="0" applyAlignment="1" applyBorder="1" applyFont="1">
      <alignment shrinkToFit="0" vertical="top" wrapText="1"/>
    </xf>
    <xf borderId="5" fillId="10" fontId="5" numFmtId="0" xfId="0" applyAlignment="1" applyBorder="1" applyFont="1">
      <alignment shrinkToFit="0" vertical="top" wrapText="1"/>
    </xf>
    <xf borderId="0" fillId="0" fontId="10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6.0"/>
    <col customWidth="1" min="2" max="2" width="28.0"/>
    <col customWidth="1" min="3" max="3" width="38.0"/>
    <col customWidth="1" min="4" max="4" width="10.0"/>
    <col customWidth="1" min="5" max="5" width="11.0"/>
    <col customWidth="1" min="6" max="6" width="16.0"/>
    <col customWidth="1" min="7" max="7" width="16.43"/>
    <col customWidth="1" min="8" max="8" width="50.0"/>
    <col customWidth="1" min="9" max="11" width="16.0"/>
    <col customWidth="1" min="12" max="12" width="45.0"/>
    <col customWidth="1" min="13" max="28" width="8.71"/>
  </cols>
  <sheetData>
    <row r="1" ht="25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</row>
    <row r="4" ht="42.0" customHeight="1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  <c r="K4" s="5" t="s">
        <v>12</v>
      </c>
      <c r="L4" s="5" t="s">
        <v>13</v>
      </c>
    </row>
    <row r="5">
      <c r="A5" s="7" t="s">
        <v>14</v>
      </c>
      <c r="B5" s="7" t="s">
        <v>15</v>
      </c>
      <c r="C5" s="8" t="s">
        <v>16</v>
      </c>
      <c r="D5" s="8">
        <v>10.0</v>
      </c>
      <c r="E5" s="9" t="s">
        <v>17</v>
      </c>
      <c r="F5" s="10">
        <v>12000.0</v>
      </c>
      <c r="G5" s="11" t="s">
        <v>18</v>
      </c>
      <c r="H5" s="7" t="s">
        <v>19</v>
      </c>
      <c r="I5" s="12">
        <v>4520.0</v>
      </c>
      <c r="J5" s="13">
        <f t="shared" ref="J5:J6" si="1">I5*D5</f>
        <v>45200</v>
      </c>
      <c r="K5" s="12">
        <f t="shared" ref="K5:K6" si="2">F5-J5</f>
        <v>-33200</v>
      </c>
      <c r="L5" s="7" t="s">
        <v>20</v>
      </c>
    </row>
    <row r="6">
      <c r="A6" s="7" t="s">
        <v>14</v>
      </c>
      <c r="B6" s="7" t="s">
        <v>21</v>
      </c>
      <c r="C6" s="8" t="s">
        <v>22</v>
      </c>
      <c r="D6" s="8">
        <v>3.0</v>
      </c>
      <c r="E6" s="14" t="s">
        <v>23</v>
      </c>
      <c r="F6" s="10">
        <v>35000.0</v>
      </c>
      <c r="G6" s="15" t="s">
        <v>24</v>
      </c>
      <c r="H6" s="8" t="s">
        <v>25</v>
      </c>
      <c r="I6" s="12">
        <v>6200.0</v>
      </c>
      <c r="J6" s="13">
        <f t="shared" si="1"/>
        <v>18600</v>
      </c>
      <c r="K6" s="12">
        <f t="shared" si="2"/>
        <v>16400</v>
      </c>
      <c r="L6" s="8" t="s">
        <v>26</v>
      </c>
    </row>
    <row r="7">
      <c r="A7" s="7" t="s">
        <v>14</v>
      </c>
      <c r="B7" s="7" t="s">
        <v>27</v>
      </c>
      <c r="C7" s="7" t="s">
        <v>28</v>
      </c>
      <c r="D7" s="7" t="s">
        <v>29</v>
      </c>
      <c r="E7" s="16" t="s">
        <v>30</v>
      </c>
      <c r="F7" s="10">
        <v>0.0</v>
      </c>
      <c r="G7" s="16" t="s">
        <v>30</v>
      </c>
      <c r="H7" s="7" t="s">
        <v>31</v>
      </c>
      <c r="I7" s="10"/>
      <c r="J7" s="10"/>
      <c r="K7" s="10">
        <v>0.0</v>
      </c>
      <c r="L7" s="7" t="s">
        <v>32</v>
      </c>
    </row>
    <row r="8">
      <c r="A8" s="7" t="s">
        <v>14</v>
      </c>
      <c r="B8" s="7" t="s">
        <v>33</v>
      </c>
      <c r="C8" s="8" t="s">
        <v>34</v>
      </c>
      <c r="D8" s="7" t="s">
        <v>35</v>
      </c>
      <c r="E8" s="9" t="s">
        <v>17</v>
      </c>
      <c r="F8" s="17">
        <v>16500.0</v>
      </c>
      <c r="G8" s="15" t="s">
        <v>24</v>
      </c>
      <c r="H8" s="8" t="s">
        <v>36</v>
      </c>
      <c r="I8" s="13"/>
      <c r="J8" s="13"/>
      <c r="K8" s="13">
        <v>2000.0</v>
      </c>
      <c r="L8" s="7" t="s">
        <v>37</v>
      </c>
    </row>
    <row r="9">
      <c r="A9" s="7" t="s">
        <v>14</v>
      </c>
      <c r="B9" s="7" t="s">
        <v>38</v>
      </c>
      <c r="C9" s="7" t="s">
        <v>39</v>
      </c>
      <c r="D9" s="7" t="s">
        <v>40</v>
      </c>
      <c r="E9" s="18" t="s">
        <v>41</v>
      </c>
      <c r="F9" s="10">
        <v>3500.0</v>
      </c>
      <c r="G9" s="15" t="s">
        <v>24</v>
      </c>
      <c r="H9" s="7" t="s">
        <v>42</v>
      </c>
      <c r="I9" s="10"/>
      <c r="J9" s="10"/>
      <c r="K9" s="10">
        <v>0.0</v>
      </c>
      <c r="L9" s="7" t="s">
        <v>43</v>
      </c>
    </row>
    <row r="10">
      <c r="A10" s="7" t="s">
        <v>44</v>
      </c>
      <c r="B10" s="7" t="s">
        <v>45</v>
      </c>
      <c r="C10" s="7" t="s">
        <v>46</v>
      </c>
      <c r="D10" s="7" t="s">
        <v>47</v>
      </c>
      <c r="E10" s="9" t="s">
        <v>17</v>
      </c>
      <c r="F10" s="10">
        <v>15000.0</v>
      </c>
      <c r="G10" s="19" t="s">
        <v>48</v>
      </c>
      <c r="H10" s="8" t="s">
        <v>49</v>
      </c>
      <c r="I10" s="13"/>
      <c r="J10" s="13"/>
      <c r="K10" s="13">
        <v>11000.0</v>
      </c>
      <c r="L10" s="7" t="s">
        <v>50</v>
      </c>
    </row>
    <row r="11">
      <c r="A11" s="7" t="s">
        <v>44</v>
      </c>
      <c r="B11" s="7" t="s">
        <v>51</v>
      </c>
      <c r="C11" s="7" t="s">
        <v>52</v>
      </c>
      <c r="D11" s="7" t="s">
        <v>53</v>
      </c>
      <c r="E11" s="9" t="s">
        <v>17</v>
      </c>
      <c r="F11" s="10">
        <v>5000.0</v>
      </c>
      <c r="G11" s="15" t="s">
        <v>24</v>
      </c>
      <c r="H11" s="8" t="s">
        <v>54</v>
      </c>
      <c r="I11" s="13"/>
      <c r="J11" s="13"/>
      <c r="K11" s="13">
        <v>500.0</v>
      </c>
      <c r="L11" s="7" t="s">
        <v>55</v>
      </c>
    </row>
    <row r="12">
      <c r="A12" s="7" t="s">
        <v>44</v>
      </c>
      <c r="B12" s="7" t="s">
        <v>56</v>
      </c>
      <c r="C12" s="7" t="s">
        <v>57</v>
      </c>
      <c r="D12" s="7" t="s">
        <v>58</v>
      </c>
      <c r="E12" s="9" t="s">
        <v>17</v>
      </c>
      <c r="F12" s="10">
        <v>1500.0</v>
      </c>
      <c r="G12" s="15" t="s">
        <v>24</v>
      </c>
      <c r="H12" s="7" t="s">
        <v>59</v>
      </c>
      <c r="I12" s="10"/>
      <c r="J12" s="10"/>
      <c r="K12" s="10">
        <v>0.0</v>
      </c>
      <c r="L12" s="7" t="s">
        <v>60</v>
      </c>
    </row>
    <row r="13">
      <c r="A13" s="7" t="s">
        <v>44</v>
      </c>
      <c r="B13" s="7" t="s">
        <v>61</v>
      </c>
      <c r="C13" s="7" t="s">
        <v>62</v>
      </c>
      <c r="D13" s="7" t="s">
        <v>63</v>
      </c>
      <c r="E13" s="9" t="s">
        <v>17</v>
      </c>
      <c r="F13" s="10">
        <v>1200.0</v>
      </c>
      <c r="G13" s="11" t="s">
        <v>18</v>
      </c>
      <c r="H13" s="7" t="s">
        <v>64</v>
      </c>
      <c r="I13" s="13"/>
      <c r="J13" s="13"/>
      <c r="K13" s="13">
        <v>1200.0</v>
      </c>
      <c r="L13" s="7" t="s">
        <v>65</v>
      </c>
    </row>
    <row r="14">
      <c r="A14" s="7" t="s">
        <v>44</v>
      </c>
      <c r="B14" s="7" t="s">
        <v>66</v>
      </c>
      <c r="C14" s="7" t="s">
        <v>67</v>
      </c>
      <c r="D14" s="7" t="s">
        <v>47</v>
      </c>
      <c r="E14" s="18" t="s">
        <v>41</v>
      </c>
      <c r="F14" s="10">
        <v>15000.0</v>
      </c>
      <c r="G14" s="19" t="s">
        <v>48</v>
      </c>
      <c r="H14" s="7" t="s">
        <v>68</v>
      </c>
      <c r="I14" s="13"/>
      <c r="J14" s="13"/>
      <c r="K14" s="13">
        <v>4000.0</v>
      </c>
      <c r="L14" s="7" t="s">
        <v>69</v>
      </c>
    </row>
    <row r="15">
      <c r="A15" s="7" t="s">
        <v>70</v>
      </c>
      <c r="B15" s="7" t="s">
        <v>71</v>
      </c>
      <c r="C15" s="7" t="s">
        <v>72</v>
      </c>
      <c r="D15" s="7" t="s">
        <v>73</v>
      </c>
      <c r="E15" s="14" t="s">
        <v>23</v>
      </c>
      <c r="F15" s="10">
        <v>7500.0</v>
      </c>
      <c r="G15" s="15" t="s">
        <v>24</v>
      </c>
      <c r="H15" s="7" t="s">
        <v>74</v>
      </c>
      <c r="I15" s="10"/>
      <c r="J15" s="10"/>
      <c r="K15" s="10">
        <v>0.0</v>
      </c>
      <c r="L15" s="7" t="s">
        <v>75</v>
      </c>
    </row>
    <row r="16">
      <c r="A16" s="7" t="s">
        <v>70</v>
      </c>
      <c r="B16" s="7" t="s">
        <v>76</v>
      </c>
      <c r="C16" s="7" t="s">
        <v>77</v>
      </c>
      <c r="D16" s="7" t="s">
        <v>78</v>
      </c>
      <c r="E16" s="14" t="s">
        <v>23</v>
      </c>
      <c r="F16" s="10">
        <v>2200.0</v>
      </c>
      <c r="G16" s="19" t="s">
        <v>48</v>
      </c>
      <c r="H16" s="7" t="s">
        <v>79</v>
      </c>
      <c r="I16" s="13"/>
      <c r="J16" s="13"/>
      <c r="K16" s="13">
        <v>2200.0</v>
      </c>
      <c r="L16" s="7" t="s">
        <v>80</v>
      </c>
    </row>
    <row r="17">
      <c r="A17" s="7" t="s">
        <v>70</v>
      </c>
      <c r="B17" s="7" t="s">
        <v>81</v>
      </c>
      <c r="C17" s="7" t="s">
        <v>82</v>
      </c>
      <c r="D17" s="7" t="s">
        <v>78</v>
      </c>
      <c r="E17" s="14" t="s">
        <v>23</v>
      </c>
      <c r="F17" s="10">
        <v>11000.0</v>
      </c>
      <c r="G17" s="15" t="s">
        <v>24</v>
      </c>
      <c r="H17" s="7" t="s">
        <v>83</v>
      </c>
      <c r="I17" s="10"/>
      <c r="J17" s="10"/>
      <c r="K17" s="10">
        <v>0.0</v>
      </c>
      <c r="L17" s="7" t="s">
        <v>84</v>
      </c>
    </row>
    <row r="18">
      <c r="A18" s="7" t="s">
        <v>70</v>
      </c>
      <c r="B18" s="7" t="s">
        <v>85</v>
      </c>
      <c r="C18" s="7" t="s">
        <v>86</v>
      </c>
      <c r="D18" s="7" t="s">
        <v>40</v>
      </c>
      <c r="E18" s="14" t="s">
        <v>23</v>
      </c>
      <c r="F18" s="10">
        <v>6000.0</v>
      </c>
      <c r="G18" s="15" t="s">
        <v>24</v>
      </c>
      <c r="H18" s="7" t="s">
        <v>87</v>
      </c>
      <c r="I18" s="10"/>
      <c r="J18" s="10"/>
      <c r="K18" s="10">
        <v>0.0</v>
      </c>
      <c r="L18" s="7" t="s">
        <v>88</v>
      </c>
    </row>
    <row r="19">
      <c r="A19" s="7" t="s">
        <v>70</v>
      </c>
      <c r="B19" s="7" t="s">
        <v>89</v>
      </c>
      <c r="C19" s="7" t="s">
        <v>90</v>
      </c>
      <c r="D19" s="7" t="s">
        <v>47</v>
      </c>
      <c r="E19" s="14" t="s">
        <v>23</v>
      </c>
      <c r="F19" s="10">
        <v>22000.0</v>
      </c>
      <c r="G19" s="15" t="s">
        <v>24</v>
      </c>
      <c r="H19" s="7" t="s">
        <v>91</v>
      </c>
      <c r="I19" s="13"/>
      <c r="J19" s="13"/>
      <c r="K19" s="13">
        <v>5000.0</v>
      </c>
      <c r="L19" s="7" t="s">
        <v>92</v>
      </c>
    </row>
    <row r="20">
      <c r="A20" s="7" t="s">
        <v>70</v>
      </c>
      <c r="B20" s="7" t="s">
        <v>93</v>
      </c>
      <c r="C20" s="7" t="s">
        <v>94</v>
      </c>
      <c r="D20" s="7" t="s">
        <v>29</v>
      </c>
      <c r="E20" s="14" t="s">
        <v>23</v>
      </c>
      <c r="F20" s="10">
        <v>0.0</v>
      </c>
      <c r="G20" s="15" t="s">
        <v>24</v>
      </c>
      <c r="H20" s="7" t="s">
        <v>95</v>
      </c>
      <c r="I20" s="10"/>
      <c r="J20" s="10"/>
      <c r="K20" s="10">
        <v>0.0</v>
      </c>
      <c r="L20" s="7" t="s">
        <v>96</v>
      </c>
    </row>
    <row r="21" ht="15.75" customHeight="1">
      <c r="A21" s="7" t="s">
        <v>97</v>
      </c>
      <c r="B21" s="7" t="s">
        <v>98</v>
      </c>
      <c r="C21" s="7" t="s">
        <v>99</v>
      </c>
      <c r="D21" s="7" t="s">
        <v>40</v>
      </c>
      <c r="E21" s="18" t="s">
        <v>41</v>
      </c>
      <c r="F21" s="10">
        <v>12000.0</v>
      </c>
      <c r="G21" s="11" t="s">
        <v>18</v>
      </c>
      <c r="H21" s="7" t="s">
        <v>100</v>
      </c>
      <c r="I21" s="13"/>
      <c r="J21" s="13"/>
      <c r="K21" s="13">
        <v>12000.0</v>
      </c>
      <c r="L21" s="7" t="s">
        <v>101</v>
      </c>
    </row>
    <row r="22" ht="15.75" customHeight="1">
      <c r="A22" s="7" t="s">
        <v>97</v>
      </c>
      <c r="B22" s="7" t="s">
        <v>102</v>
      </c>
      <c r="C22" s="7" t="s">
        <v>103</v>
      </c>
      <c r="D22" s="7" t="s">
        <v>47</v>
      </c>
      <c r="E22" s="9" t="s">
        <v>17</v>
      </c>
      <c r="F22" s="10">
        <v>3000.0</v>
      </c>
      <c r="G22" s="15" t="s">
        <v>24</v>
      </c>
      <c r="H22" s="7" t="s">
        <v>104</v>
      </c>
      <c r="I22" s="10"/>
      <c r="J22" s="10"/>
      <c r="K22" s="10">
        <v>0.0</v>
      </c>
      <c r="L22" s="7" t="s">
        <v>105</v>
      </c>
    </row>
    <row r="23" ht="15.75" customHeight="1">
      <c r="A23" s="7" t="s">
        <v>97</v>
      </c>
      <c r="B23" s="7" t="s">
        <v>106</v>
      </c>
      <c r="C23" s="7" t="s">
        <v>107</v>
      </c>
      <c r="D23" s="7" t="s">
        <v>47</v>
      </c>
      <c r="E23" s="14" t="s">
        <v>23</v>
      </c>
      <c r="F23" s="10">
        <v>10000.0</v>
      </c>
      <c r="G23" s="19" t="s">
        <v>48</v>
      </c>
      <c r="H23" s="7" t="s">
        <v>108</v>
      </c>
      <c r="I23" s="13"/>
      <c r="J23" s="13"/>
      <c r="K23" s="13">
        <v>5000.0</v>
      </c>
      <c r="L23" s="7" t="s">
        <v>109</v>
      </c>
    </row>
    <row r="24" ht="15.75" customHeight="1">
      <c r="A24" s="7" t="s">
        <v>97</v>
      </c>
      <c r="B24" s="7" t="s">
        <v>110</v>
      </c>
      <c r="C24" s="7" t="s">
        <v>111</v>
      </c>
      <c r="D24" s="7" t="s">
        <v>47</v>
      </c>
      <c r="E24" s="18" t="s">
        <v>41</v>
      </c>
      <c r="F24" s="10">
        <v>9000.0</v>
      </c>
      <c r="G24" s="15" t="s">
        <v>24</v>
      </c>
      <c r="H24" s="7" t="s">
        <v>112</v>
      </c>
      <c r="I24" s="10"/>
      <c r="J24" s="10"/>
      <c r="K24" s="10">
        <v>0.0</v>
      </c>
      <c r="L24" s="7" t="s">
        <v>113</v>
      </c>
    </row>
    <row r="25" ht="15.75" customHeight="1">
      <c r="A25" s="7" t="s">
        <v>114</v>
      </c>
      <c r="B25" s="7" t="s">
        <v>115</v>
      </c>
      <c r="C25" s="7" t="s">
        <v>116</v>
      </c>
      <c r="D25" s="7" t="s">
        <v>40</v>
      </c>
      <c r="E25" s="9" t="s">
        <v>17</v>
      </c>
      <c r="F25" s="10">
        <v>500.0</v>
      </c>
      <c r="G25" s="15" t="s">
        <v>24</v>
      </c>
      <c r="H25" s="7" t="s">
        <v>117</v>
      </c>
      <c r="I25" s="10"/>
      <c r="J25" s="10"/>
      <c r="K25" s="10">
        <v>0.0</v>
      </c>
      <c r="L25" s="7" t="s">
        <v>118</v>
      </c>
    </row>
    <row r="26" ht="15.75" customHeight="1">
      <c r="A26" s="7" t="s">
        <v>114</v>
      </c>
      <c r="B26" s="7" t="s">
        <v>119</v>
      </c>
      <c r="C26" s="7" t="s">
        <v>120</v>
      </c>
      <c r="D26" s="7" t="s">
        <v>121</v>
      </c>
      <c r="E26" s="14" t="s">
        <v>23</v>
      </c>
      <c r="F26" s="10">
        <v>2500.0</v>
      </c>
      <c r="G26" s="15" t="s">
        <v>24</v>
      </c>
      <c r="H26" s="7" t="s">
        <v>122</v>
      </c>
      <c r="I26" s="10"/>
      <c r="J26" s="10"/>
      <c r="K26" s="10">
        <v>0.0</v>
      </c>
      <c r="L26" s="7" t="s">
        <v>123</v>
      </c>
    </row>
    <row r="27" ht="15.75" customHeight="1">
      <c r="A27" s="7" t="s">
        <v>114</v>
      </c>
      <c r="B27" s="7" t="s">
        <v>124</v>
      </c>
      <c r="C27" s="7" t="s">
        <v>125</v>
      </c>
      <c r="D27" s="7" t="s">
        <v>40</v>
      </c>
      <c r="E27" s="18" t="s">
        <v>41</v>
      </c>
      <c r="F27" s="10">
        <v>1200.0</v>
      </c>
      <c r="G27" s="15" t="s">
        <v>24</v>
      </c>
      <c r="H27" s="7" t="s">
        <v>117</v>
      </c>
      <c r="I27" s="10"/>
      <c r="J27" s="10"/>
      <c r="K27" s="10">
        <v>0.0</v>
      </c>
      <c r="L27" s="7" t="s">
        <v>126</v>
      </c>
    </row>
    <row r="28" ht="15.75" customHeight="1">
      <c r="A28" s="7" t="s">
        <v>114</v>
      </c>
      <c r="B28" s="7" t="s">
        <v>127</v>
      </c>
      <c r="C28" s="7" t="s">
        <v>128</v>
      </c>
      <c r="D28" s="7" t="s">
        <v>129</v>
      </c>
      <c r="E28" s="18" t="s">
        <v>41</v>
      </c>
      <c r="F28" s="10">
        <v>3500.0</v>
      </c>
      <c r="G28" s="18" t="s">
        <v>130</v>
      </c>
      <c r="H28" s="7" t="s">
        <v>131</v>
      </c>
      <c r="I28" s="13"/>
      <c r="J28" s="13"/>
      <c r="K28" s="13">
        <v>1000.0</v>
      </c>
      <c r="L28" s="7" t="s">
        <v>132</v>
      </c>
    </row>
    <row r="29" ht="15.75" customHeight="1">
      <c r="A29" s="7" t="s">
        <v>133</v>
      </c>
      <c r="B29" s="7" t="s">
        <v>134</v>
      </c>
      <c r="C29" s="7" t="s">
        <v>135</v>
      </c>
      <c r="D29" s="7" t="s">
        <v>136</v>
      </c>
      <c r="E29" s="18" t="s">
        <v>41</v>
      </c>
      <c r="F29" s="10">
        <v>7000.0</v>
      </c>
      <c r="G29" s="15" t="s">
        <v>24</v>
      </c>
      <c r="H29" s="7" t="s">
        <v>117</v>
      </c>
      <c r="I29" s="10"/>
      <c r="J29" s="10"/>
      <c r="K29" s="10">
        <v>0.0</v>
      </c>
      <c r="L29" s="7" t="s">
        <v>137</v>
      </c>
    </row>
    <row r="30" ht="15.75" customHeight="1">
      <c r="A30" s="7" t="s">
        <v>133</v>
      </c>
      <c r="B30" s="7" t="s">
        <v>138</v>
      </c>
      <c r="C30" s="7" t="s">
        <v>139</v>
      </c>
      <c r="D30" s="7" t="s">
        <v>140</v>
      </c>
      <c r="E30" s="18" t="s">
        <v>41</v>
      </c>
      <c r="F30" s="10">
        <v>500.0</v>
      </c>
      <c r="G30" s="15" t="s">
        <v>24</v>
      </c>
      <c r="H30" s="7" t="s">
        <v>141</v>
      </c>
      <c r="I30" s="10"/>
      <c r="J30" s="10"/>
      <c r="K30" s="10">
        <v>0.0</v>
      </c>
      <c r="L30" s="7" t="s">
        <v>142</v>
      </c>
    </row>
    <row r="31" ht="15.75" customHeight="1">
      <c r="A31" s="7" t="s">
        <v>133</v>
      </c>
      <c r="B31" s="7" t="s">
        <v>143</v>
      </c>
      <c r="C31" s="7" t="s">
        <v>144</v>
      </c>
      <c r="D31" s="7" t="s">
        <v>40</v>
      </c>
      <c r="E31" s="18" t="s">
        <v>41</v>
      </c>
      <c r="F31" s="10">
        <v>600.0</v>
      </c>
      <c r="G31" s="15" t="s">
        <v>24</v>
      </c>
      <c r="H31" s="7" t="s">
        <v>117</v>
      </c>
      <c r="I31" s="10"/>
      <c r="J31" s="10"/>
      <c r="K31" s="10">
        <v>0.0</v>
      </c>
      <c r="L31" s="7" t="s">
        <v>145</v>
      </c>
    </row>
    <row r="32" ht="15.75" customHeight="1">
      <c r="A32" s="7" t="s">
        <v>133</v>
      </c>
      <c r="B32" s="7" t="s">
        <v>146</v>
      </c>
      <c r="C32" s="7" t="s">
        <v>147</v>
      </c>
      <c r="D32" s="7" t="s">
        <v>148</v>
      </c>
      <c r="E32" s="18" t="s">
        <v>41</v>
      </c>
      <c r="F32" s="10">
        <v>1200.0</v>
      </c>
      <c r="G32" s="15" t="s">
        <v>24</v>
      </c>
      <c r="H32" s="7" t="s">
        <v>149</v>
      </c>
      <c r="I32" s="10"/>
      <c r="J32" s="10"/>
      <c r="K32" s="10">
        <v>0.0</v>
      </c>
      <c r="L32" s="7" t="s">
        <v>150</v>
      </c>
    </row>
    <row r="33" ht="15.75" customHeight="1">
      <c r="A33" s="7" t="s">
        <v>151</v>
      </c>
      <c r="B33" s="7" t="s">
        <v>152</v>
      </c>
      <c r="C33" s="7" t="s">
        <v>153</v>
      </c>
      <c r="D33" s="7" t="s">
        <v>40</v>
      </c>
      <c r="E33" s="18" t="s">
        <v>41</v>
      </c>
      <c r="F33" s="10">
        <v>0.0</v>
      </c>
      <c r="G33" s="15" t="s">
        <v>24</v>
      </c>
      <c r="H33" s="7" t="s">
        <v>154</v>
      </c>
      <c r="I33" s="10"/>
      <c r="J33" s="10"/>
      <c r="K33" s="10">
        <v>0.0</v>
      </c>
      <c r="L33" s="7" t="s">
        <v>155</v>
      </c>
    </row>
    <row r="34" ht="15.75" customHeight="1">
      <c r="A34" s="7" t="s">
        <v>151</v>
      </c>
      <c r="B34" s="7" t="s">
        <v>156</v>
      </c>
      <c r="C34" s="7" t="s">
        <v>157</v>
      </c>
      <c r="D34" s="7" t="s">
        <v>40</v>
      </c>
      <c r="E34" s="18" t="s">
        <v>41</v>
      </c>
      <c r="F34" s="10">
        <v>2000.0</v>
      </c>
      <c r="G34" s="11" t="s">
        <v>18</v>
      </c>
      <c r="H34" s="7" t="s">
        <v>158</v>
      </c>
      <c r="I34" s="13"/>
      <c r="J34" s="13"/>
      <c r="K34" s="13">
        <v>2000.0</v>
      </c>
      <c r="L34" s="7" t="s">
        <v>159</v>
      </c>
    </row>
    <row r="35" ht="15.75" customHeight="1">
      <c r="A35" s="7" t="s">
        <v>151</v>
      </c>
      <c r="B35" s="7" t="s">
        <v>160</v>
      </c>
      <c r="C35" s="7" t="s">
        <v>161</v>
      </c>
      <c r="D35" s="7" t="s">
        <v>162</v>
      </c>
      <c r="E35" s="18" t="s">
        <v>41</v>
      </c>
      <c r="F35" s="10">
        <v>2500.0</v>
      </c>
      <c r="G35" s="15" t="s">
        <v>24</v>
      </c>
      <c r="H35" s="7" t="s">
        <v>163</v>
      </c>
      <c r="I35" s="10"/>
      <c r="J35" s="10"/>
      <c r="K35" s="10">
        <v>0.0</v>
      </c>
      <c r="L35" s="7" t="s">
        <v>164</v>
      </c>
    </row>
    <row r="36" ht="15.75" customHeight="1">
      <c r="A36" s="7" t="s">
        <v>165</v>
      </c>
      <c r="B36" s="7" t="s">
        <v>166</v>
      </c>
      <c r="C36" s="7" t="s">
        <v>167</v>
      </c>
      <c r="D36" s="7" t="s">
        <v>168</v>
      </c>
      <c r="E36" s="18" t="s">
        <v>41</v>
      </c>
      <c r="F36" s="17">
        <v>13000.0</v>
      </c>
      <c r="G36" s="15" t="s">
        <v>24</v>
      </c>
      <c r="H36" s="7" t="s">
        <v>117</v>
      </c>
      <c r="I36" s="10"/>
      <c r="J36" s="10"/>
      <c r="K36" s="10">
        <v>0.0</v>
      </c>
      <c r="L36" s="7" t="s">
        <v>169</v>
      </c>
    </row>
    <row r="37" ht="15.75" customHeight="1">
      <c r="A37" s="7" t="s">
        <v>165</v>
      </c>
      <c r="B37" s="7" t="s">
        <v>170</v>
      </c>
      <c r="C37" s="7" t="s">
        <v>171</v>
      </c>
      <c r="D37" s="7" t="s">
        <v>168</v>
      </c>
      <c r="E37" s="18" t="s">
        <v>41</v>
      </c>
      <c r="F37" s="10">
        <v>7500.0</v>
      </c>
      <c r="G37" s="15" t="s">
        <v>24</v>
      </c>
      <c r="H37" s="7" t="s">
        <v>117</v>
      </c>
      <c r="I37" s="10"/>
      <c r="J37" s="10"/>
      <c r="K37" s="10">
        <v>0.0</v>
      </c>
      <c r="L37" s="7" t="s">
        <v>172</v>
      </c>
    </row>
    <row r="38" ht="15.75" customHeight="1">
      <c r="A38" s="7" t="s">
        <v>165</v>
      </c>
      <c r="B38" s="7" t="s">
        <v>173</v>
      </c>
      <c r="C38" s="7" t="s">
        <v>168</v>
      </c>
      <c r="D38" s="7" t="s">
        <v>168</v>
      </c>
      <c r="E38" s="14" t="s">
        <v>23</v>
      </c>
      <c r="F38" s="10">
        <v>5500.0</v>
      </c>
      <c r="G38" s="15" t="s">
        <v>24</v>
      </c>
      <c r="H38" s="7" t="s">
        <v>117</v>
      </c>
      <c r="I38" s="10"/>
      <c r="J38" s="10"/>
      <c r="K38" s="10">
        <v>0.0</v>
      </c>
      <c r="L38" s="7" t="s">
        <v>174</v>
      </c>
    </row>
    <row r="39" ht="15.75" customHeight="1">
      <c r="A39" s="7" t="s">
        <v>165</v>
      </c>
      <c r="B39" s="7" t="s">
        <v>175</v>
      </c>
      <c r="C39" s="7" t="s">
        <v>176</v>
      </c>
      <c r="D39" s="7" t="s">
        <v>168</v>
      </c>
      <c r="E39" s="18" t="s">
        <v>41</v>
      </c>
      <c r="F39" s="10">
        <v>0.0</v>
      </c>
      <c r="G39" s="20" t="s">
        <v>18</v>
      </c>
      <c r="H39" s="7" t="s">
        <v>177</v>
      </c>
      <c r="I39" s="10"/>
      <c r="J39" s="10"/>
      <c r="K39" s="10">
        <v>0.0</v>
      </c>
      <c r="L39" s="7" t="s">
        <v>178</v>
      </c>
    </row>
    <row r="40" ht="15.75" customHeight="1">
      <c r="A40" s="7" t="s">
        <v>179</v>
      </c>
      <c r="B40" s="7" t="s">
        <v>180</v>
      </c>
      <c r="C40" s="7" t="s">
        <v>168</v>
      </c>
      <c r="D40" s="7" t="s">
        <v>168</v>
      </c>
      <c r="E40" s="18" t="s">
        <v>41</v>
      </c>
      <c r="F40" s="10">
        <v>3000.0</v>
      </c>
      <c r="G40" s="21" t="s">
        <v>24</v>
      </c>
      <c r="H40" s="7" t="s">
        <v>181</v>
      </c>
      <c r="I40" s="13"/>
      <c r="J40" s="13"/>
      <c r="K40" s="13">
        <v>3000.0</v>
      </c>
      <c r="L40" s="7" t="s">
        <v>182</v>
      </c>
    </row>
    <row r="41" ht="15.75" customHeight="1">
      <c r="A41" s="7" t="s">
        <v>179</v>
      </c>
      <c r="B41" s="7" t="s">
        <v>183</v>
      </c>
      <c r="C41" s="7" t="s">
        <v>168</v>
      </c>
      <c r="D41" s="7" t="s">
        <v>168</v>
      </c>
      <c r="E41" s="18" t="s">
        <v>41</v>
      </c>
      <c r="F41" s="10">
        <v>7500.0</v>
      </c>
      <c r="G41" s="11" t="s">
        <v>18</v>
      </c>
      <c r="H41" s="7" t="s">
        <v>181</v>
      </c>
      <c r="I41" s="13"/>
      <c r="J41" s="13"/>
      <c r="K41" s="13">
        <v>7500.0</v>
      </c>
      <c r="L41" s="7" t="s">
        <v>184</v>
      </c>
    </row>
    <row r="42" ht="15.75" customHeight="1">
      <c r="A42" s="7" t="s">
        <v>179</v>
      </c>
      <c r="B42" s="7" t="s">
        <v>185</v>
      </c>
      <c r="C42" s="7" t="s">
        <v>168</v>
      </c>
      <c r="D42" s="7" t="s">
        <v>168</v>
      </c>
      <c r="E42" s="18" t="s">
        <v>41</v>
      </c>
      <c r="F42" s="10">
        <v>8000.0</v>
      </c>
      <c r="G42" s="11" t="s">
        <v>18</v>
      </c>
      <c r="H42" s="7" t="s">
        <v>186</v>
      </c>
      <c r="I42" s="13"/>
      <c r="J42" s="13"/>
      <c r="K42" s="13">
        <v>8000.0</v>
      </c>
      <c r="L42" s="7" t="s">
        <v>187</v>
      </c>
    </row>
    <row r="43" ht="15.75" customHeight="1">
      <c r="A43" s="7" t="s">
        <v>179</v>
      </c>
      <c r="B43" s="7" t="s">
        <v>188</v>
      </c>
      <c r="C43" s="7" t="s">
        <v>189</v>
      </c>
      <c r="D43" s="7" t="s">
        <v>168</v>
      </c>
      <c r="E43" s="14" t="s">
        <v>23</v>
      </c>
      <c r="F43" s="10">
        <v>0.0</v>
      </c>
      <c r="G43" s="11" t="s">
        <v>18</v>
      </c>
      <c r="H43" s="7" t="s">
        <v>190</v>
      </c>
      <c r="I43" s="10"/>
      <c r="J43" s="10"/>
      <c r="K43" s="10">
        <v>0.0</v>
      </c>
      <c r="L43" s="7" t="s">
        <v>191</v>
      </c>
    </row>
    <row r="44" ht="15.75" customHeight="1">
      <c r="A44" s="7" t="s">
        <v>179</v>
      </c>
      <c r="B44" s="7" t="s">
        <v>192</v>
      </c>
      <c r="C44" s="7" t="s">
        <v>168</v>
      </c>
      <c r="D44" s="7" t="s">
        <v>168</v>
      </c>
      <c r="E44" s="14" t="s">
        <v>23</v>
      </c>
      <c r="F44" s="10">
        <v>0.0</v>
      </c>
      <c r="G44" s="11" t="s">
        <v>18</v>
      </c>
      <c r="H44" s="7" t="s">
        <v>193</v>
      </c>
      <c r="I44" s="10"/>
      <c r="J44" s="10"/>
      <c r="K44" s="10">
        <v>0.0</v>
      </c>
      <c r="L44" s="7" t="s">
        <v>191</v>
      </c>
    </row>
    <row r="45" ht="15.75" customHeight="1">
      <c r="A45" s="7" t="s">
        <v>194</v>
      </c>
      <c r="B45" s="7" t="s">
        <v>195</v>
      </c>
      <c r="C45" s="7" t="s">
        <v>196</v>
      </c>
      <c r="D45" s="7" t="s">
        <v>168</v>
      </c>
      <c r="E45" s="18" t="s">
        <v>41</v>
      </c>
      <c r="F45" s="10">
        <v>77500.0</v>
      </c>
      <c r="G45" s="15" t="s">
        <v>24</v>
      </c>
      <c r="H45" s="7" t="s">
        <v>197</v>
      </c>
      <c r="I45" s="13"/>
      <c r="J45" s="13"/>
      <c r="K45" s="13">
        <v>10000.0</v>
      </c>
      <c r="L45" s="7" t="s">
        <v>198</v>
      </c>
    </row>
    <row r="46" ht="15.75" customHeight="1">
      <c r="A46" s="22" t="s">
        <v>199</v>
      </c>
      <c r="B46" s="22"/>
      <c r="C46" s="22"/>
      <c r="D46" s="23" t="s">
        <v>200</v>
      </c>
      <c r="E46" s="22"/>
      <c r="F46" s="24">
        <f>SUM(F5:F45)</f>
        <v>330900</v>
      </c>
      <c r="G46" s="22"/>
      <c r="H46" s="23" t="s">
        <v>201</v>
      </c>
      <c r="I46" s="24"/>
      <c r="J46" s="24"/>
      <c r="K46" s="24">
        <f>SUM(K5:K45)</f>
        <v>57600</v>
      </c>
      <c r="L46" s="22"/>
    </row>
    <row r="47" ht="15.75" customHeight="1">
      <c r="D47" s="25" t="s">
        <v>202</v>
      </c>
      <c r="F47" s="26">
        <f>F46-K46</f>
        <v>273300</v>
      </c>
    </row>
    <row r="48" ht="15.75" customHeight="1"/>
    <row r="49" ht="15.75" customHeight="1">
      <c r="A49" s="27" t="s">
        <v>203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3"/>
    </row>
    <row r="50" ht="15.75" customHeight="1">
      <c r="A50" s="28" t="s">
        <v>6</v>
      </c>
      <c r="F50" s="28" t="s">
        <v>204</v>
      </c>
      <c r="H50" s="28" t="s">
        <v>205</v>
      </c>
      <c r="I50" s="28"/>
      <c r="J50" s="28"/>
      <c r="K50" s="28" t="s">
        <v>206</v>
      </c>
    </row>
    <row r="51" ht="15.75" customHeight="1">
      <c r="A51" s="29" t="s">
        <v>17</v>
      </c>
      <c r="F51" s="30">
        <f>SUMIF(E5:E45,"PV",F5:F45)</f>
        <v>54700</v>
      </c>
      <c r="I51" s="31"/>
      <c r="J51" s="31"/>
      <c r="K51" s="30">
        <f>SUMIF(E5:E45,"PV",K5:K45)</f>
        <v>-18500</v>
      </c>
      <c r="L51" s="30">
        <f t="shared" ref="L51:L53" si="3">F51-K51</f>
        <v>73200</v>
      </c>
    </row>
    <row r="52" ht="15.75" customHeight="1">
      <c r="A52" s="32" t="s">
        <v>23</v>
      </c>
      <c r="F52" s="30">
        <f>SUMIF(E5:E45,"BATTERY",F5:F45)</f>
        <v>101700</v>
      </c>
      <c r="I52" s="31"/>
      <c r="J52" s="31"/>
      <c r="K52" s="30">
        <f>SUMIF(E5:E45,"BATTERY",K5:K45)</f>
        <v>28600</v>
      </c>
      <c r="L52" s="30">
        <f t="shared" si="3"/>
        <v>73100</v>
      </c>
    </row>
    <row r="53" ht="15.75" customHeight="1">
      <c r="A53" s="33" t="s">
        <v>41</v>
      </c>
      <c r="F53" s="30">
        <f>SUMIF(E5:E45,"SHARED",F5:F45)</f>
        <v>174500</v>
      </c>
      <c r="I53" s="31"/>
      <c r="J53" s="31"/>
      <c r="K53" s="30">
        <f>SUMIF(E5:E45,"SHARED",K5:K45)</f>
        <v>47500</v>
      </c>
      <c r="L53" s="30">
        <f t="shared" si="3"/>
        <v>127000</v>
      </c>
    </row>
    <row r="54" ht="15.75" customHeight="1"/>
    <row r="55" ht="15.75" customHeight="1"/>
    <row r="56" ht="15.75" customHeight="1">
      <c r="A56" s="34" t="s">
        <v>207</v>
      </c>
      <c r="B56" s="34" t="s">
        <v>208</v>
      </c>
      <c r="C56" s="34" t="s">
        <v>209</v>
      </c>
      <c r="D56" s="34" t="s">
        <v>210</v>
      </c>
    </row>
    <row r="57" ht="15.75" customHeight="1">
      <c r="C57" s="34" t="s">
        <v>211</v>
      </c>
    </row>
    <row r="58" ht="15.75" customHeight="1"/>
    <row r="59" ht="15.75" customHeight="1">
      <c r="C59" s="34" t="s">
        <v>212</v>
      </c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L1"/>
    <mergeCell ref="A2:L2"/>
    <mergeCell ref="A49:L49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.0"/>
    <col customWidth="1" min="2" max="2" width="45.0"/>
    <col customWidth="1" min="3" max="3" width="12.0"/>
    <col customWidth="1" min="4" max="4" width="10.0"/>
    <col customWidth="1" min="5" max="5" width="16.0"/>
    <col customWidth="1" min="6" max="6" width="50.0"/>
    <col customWidth="1" min="7" max="26" width="8.71"/>
  </cols>
  <sheetData>
    <row r="1" ht="25.5" customHeight="1">
      <c r="A1" s="1" t="s">
        <v>213</v>
      </c>
      <c r="B1" s="2"/>
      <c r="C1" s="2"/>
      <c r="D1" s="2"/>
      <c r="E1" s="2"/>
      <c r="F1" s="3"/>
    </row>
    <row r="3" ht="27.75" customHeight="1">
      <c r="A3" s="5" t="s">
        <v>214</v>
      </c>
      <c r="B3" s="5" t="s">
        <v>215</v>
      </c>
      <c r="C3" s="5" t="s">
        <v>216</v>
      </c>
      <c r="D3" s="5" t="s">
        <v>217</v>
      </c>
      <c r="E3" s="5" t="s">
        <v>218</v>
      </c>
      <c r="F3" s="5" t="s">
        <v>219</v>
      </c>
    </row>
    <row r="4">
      <c r="A4" s="35">
        <v>1.0</v>
      </c>
      <c r="B4" s="36" t="s">
        <v>220</v>
      </c>
      <c r="C4" s="35" t="s">
        <v>221</v>
      </c>
      <c r="D4" s="35" t="s">
        <v>222</v>
      </c>
      <c r="E4" s="37">
        <v>12000.0</v>
      </c>
      <c r="F4" s="36" t="s">
        <v>223</v>
      </c>
    </row>
    <row r="5">
      <c r="A5" s="35">
        <v>2.0</v>
      </c>
      <c r="B5" s="36" t="s">
        <v>224</v>
      </c>
      <c r="C5" s="35" t="s">
        <v>221</v>
      </c>
      <c r="D5" s="35" t="s">
        <v>222</v>
      </c>
      <c r="E5" s="37">
        <v>12000.0</v>
      </c>
      <c r="F5" s="36" t="s">
        <v>225</v>
      </c>
    </row>
    <row r="6">
      <c r="A6" s="35">
        <v>3.0</v>
      </c>
      <c r="B6" s="36" t="s">
        <v>226</v>
      </c>
      <c r="C6" s="35" t="s">
        <v>227</v>
      </c>
      <c r="D6" s="35" t="s">
        <v>222</v>
      </c>
      <c r="E6" s="37">
        <v>11000.0</v>
      </c>
      <c r="F6" s="36" t="s">
        <v>228</v>
      </c>
    </row>
    <row r="7">
      <c r="A7" s="35">
        <v>4.0</v>
      </c>
      <c r="B7" s="36" t="s">
        <v>229</v>
      </c>
      <c r="C7" s="35" t="s">
        <v>221</v>
      </c>
      <c r="D7" s="35" t="s">
        <v>222</v>
      </c>
      <c r="E7" s="37">
        <v>8000.0</v>
      </c>
      <c r="F7" s="36" t="s">
        <v>230</v>
      </c>
    </row>
    <row r="8">
      <c r="A8" s="35">
        <v>5.0</v>
      </c>
      <c r="B8" s="36" t="s">
        <v>231</v>
      </c>
      <c r="C8" s="35" t="s">
        <v>221</v>
      </c>
      <c r="D8" s="35" t="s">
        <v>222</v>
      </c>
      <c r="E8" s="37">
        <v>7500.0</v>
      </c>
      <c r="F8" s="36" t="s">
        <v>232</v>
      </c>
    </row>
    <row r="9">
      <c r="A9" s="35">
        <v>6.0</v>
      </c>
      <c r="B9" s="36" t="s">
        <v>233</v>
      </c>
      <c r="C9" s="35" t="s">
        <v>234</v>
      </c>
      <c r="D9" s="35" t="s">
        <v>235</v>
      </c>
      <c r="E9" s="37">
        <v>7000.0</v>
      </c>
      <c r="F9" s="36" t="s">
        <v>236</v>
      </c>
    </row>
    <row r="10">
      <c r="A10" s="35">
        <v>7.0</v>
      </c>
      <c r="B10" s="36" t="s">
        <v>237</v>
      </c>
      <c r="C10" s="35" t="s">
        <v>238</v>
      </c>
      <c r="D10" s="35" t="s">
        <v>235</v>
      </c>
      <c r="E10" s="37">
        <v>5000.0</v>
      </c>
      <c r="F10" s="36" t="s">
        <v>239</v>
      </c>
    </row>
    <row r="11">
      <c r="A11" s="35">
        <v>8.0</v>
      </c>
      <c r="B11" s="36" t="s">
        <v>240</v>
      </c>
      <c r="C11" s="35" t="s">
        <v>227</v>
      </c>
      <c r="D11" s="35" t="s">
        <v>222</v>
      </c>
      <c r="E11" s="37">
        <v>5000.0</v>
      </c>
      <c r="F11" s="36" t="s">
        <v>241</v>
      </c>
    </row>
    <row r="12">
      <c r="A12" s="35">
        <v>9.0</v>
      </c>
      <c r="B12" s="36" t="s">
        <v>242</v>
      </c>
      <c r="C12" s="35" t="s">
        <v>234</v>
      </c>
      <c r="D12" s="35" t="s">
        <v>235</v>
      </c>
      <c r="E12" s="38">
        <v>4000.0</v>
      </c>
      <c r="F12" s="36" t="s">
        <v>243</v>
      </c>
    </row>
    <row r="13">
      <c r="A13" s="35">
        <v>10.0</v>
      </c>
      <c r="B13" s="36" t="s">
        <v>244</v>
      </c>
      <c r="C13" s="35" t="s">
        <v>221</v>
      </c>
      <c r="D13" s="35" t="s">
        <v>222</v>
      </c>
      <c r="E13" s="38">
        <v>3000.0</v>
      </c>
      <c r="F13" s="36" t="s">
        <v>245</v>
      </c>
    </row>
    <row r="14">
      <c r="A14" s="35">
        <v>11.0</v>
      </c>
      <c r="B14" s="36" t="s">
        <v>246</v>
      </c>
      <c r="C14" s="35" t="s">
        <v>221</v>
      </c>
      <c r="D14" s="35" t="s">
        <v>222</v>
      </c>
      <c r="E14" s="38">
        <v>2200.0</v>
      </c>
      <c r="F14" s="36" t="s">
        <v>247</v>
      </c>
    </row>
    <row r="15">
      <c r="A15" s="35">
        <v>12.0</v>
      </c>
      <c r="B15" s="36" t="s">
        <v>248</v>
      </c>
      <c r="C15" s="35" t="s">
        <v>234</v>
      </c>
      <c r="D15" s="35" t="s">
        <v>222</v>
      </c>
      <c r="E15" s="38">
        <v>2000.0</v>
      </c>
      <c r="F15" s="36" t="s">
        <v>249</v>
      </c>
    </row>
    <row r="16">
      <c r="A16" s="35">
        <v>13.0</v>
      </c>
      <c r="B16" s="36" t="s">
        <v>250</v>
      </c>
      <c r="C16" s="35" t="s">
        <v>221</v>
      </c>
      <c r="D16" s="35" t="s">
        <v>222</v>
      </c>
      <c r="E16" s="38">
        <v>2000.0</v>
      </c>
      <c r="F16" s="36" t="s">
        <v>251</v>
      </c>
    </row>
    <row r="17">
      <c r="A17" s="35">
        <v>14.0</v>
      </c>
      <c r="B17" s="36" t="s">
        <v>252</v>
      </c>
      <c r="C17" s="35" t="s">
        <v>221</v>
      </c>
      <c r="D17" s="35" t="s">
        <v>222</v>
      </c>
      <c r="E17" s="38">
        <v>1200.0</v>
      </c>
      <c r="F17" s="36" t="s">
        <v>253</v>
      </c>
    </row>
    <row r="18">
      <c r="A18" s="35">
        <v>15.0</v>
      </c>
      <c r="B18" s="36" t="s">
        <v>254</v>
      </c>
      <c r="C18" s="35" t="s">
        <v>234</v>
      </c>
      <c r="D18" s="35" t="s">
        <v>222</v>
      </c>
      <c r="E18" s="38">
        <v>1000.0</v>
      </c>
      <c r="F18" s="36" t="s">
        <v>255</v>
      </c>
    </row>
    <row r="19">
      <c r="A19" s="35">
        <v>16.0</v>
      </c>
      <c r="B19" s="36" t="s">
        <v>256</v>
      </c>
      <c r="C19" s="35" t="s">
        <v>234</v>
      </c>
      <c r="D19" s="35" t="s">
        <v>222</v>
      </c>
      <c r="E19" s="38">
        <v>500.0</v>
      </c>
      <c r="F19" s="36" t="s">
        <v>257</v>
      </c>
    </row>
    <row r="20">
      <c r="A20" s="35">
        <v>17.0</v>
      </c>
      <c r="B20" s="36" t="s">
        <v>258</v>
      </c>
      <c r="C20" s="35" t="s">
        <v>221</v>
      </c>
      <c r="D20" s="35" t="s">
        <v>235</v>
      </c>
      <c r="E20" s="38">
        <v>0.0</v>
      </c>
      <c r="F20" s="36" t="s">
        <v>259</v>
      </c>
    </row>
    <row r="21" ht="15.75" customHeight="1">
      <c r="A21" s="35">
        <v>18.0</v>
      </c>
      <c r="B21" s="36" t="s">
        <v>260</v>
      </c>
      <c r="C21" s="35" t="s">
        <v>221</v>
      </c>
      <c r="D21" s="35" t="s">
        <v>235</v>
      </c>
      <c r="E21" s="38">
        <v>0.0</v>
      </c>
      <c r="F21" s="36" t="s">
        <v>259</v>
      </c>
    </row>
    <row r="22" ht="15.75" customHeight="1">
      <c r="A22" s="35">
        <v>19.0</v>
      </c>
      <c r="B22" s="36" t="s">
        <v>261</v>
      </c>
      <c r="C22" s="35" t="s">
        <v>227</v>
      </c>
      <c r="D22" s="35" t="s">
        <v>235</v>
      </c>
      <c r="E22" s="37">
        <v>10000.0</v>
      </c>
      <c r="F22" s="36" t="s">
        <v>262</v>
      </c>
    </row>
    <row r="23" ht="15.75" customHeight="1">
      <c r="A23" s="39"/>
      <c r="B23" s="39"/>
      <c r="C23" s="39"/>
      <c r="D23" s="23" t="s">
        <v>263</v>
      </c>
      <c r="E23" s="40">
        <f>SUM(E4:E22)</f>
        <v>93400</v>
      </c>
      <c r="F23" s="39"/>
    </row>
    <row r="24" ht="15.75" customHeight="1"/>
    <row r="25" ht="15.75" customHeight="1"/>
    <row r="26" ht="15.75" customHeight="1">
      <c r="A26" s="41" t="s">
        <v>264</v>
      </c>
      <c r="B26" s="2"/>
      <c r="C26" s="2"/>
      <c r="D26" s="2"/>
      <c r="E26" s="2"/>
      <c r="F26" s="3"/>
    </row>
    <row r="27" ht="15.75" customHeight="1">
      <c r="A27" s="42" t="s">
        <v>265</v>
      </c>
    </row>
    <row r="28" ht="49.5" customHeight="1">
      <c r="A28" s="43" t="s">
        <v>266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6:F26"/>
    <mergeCell ref="A27:F27"/>
    <mergeCell ref="A28:F28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75.0"/>
    <col customWidth="1" min="3" max="26" width="8.71"/>
  </cols>
  <sheetData>
    <row r="1" ht="25.5" customHeight="1">
      <c r="A1" s="1" t="s">
        <v>267</v>
      </c>
      <c r="B1" s="3"/>
    </row>
    <row r="3">
      <c r="A3" s="44" t="s">
        <v>268</v>
      </c>
      <c r="B3" s="45"/>
    </row>
    <row r="4">
      <c r="A4" s="46" t="s">
        <v>24</v>
      </c>
      <c r="B4" s="43" t="s">
        <v>269</v>
      </c>
    </row>
    <row r="5">
      <c r="A5" s="46" t="s">
        <v>130</v>
      </c>
      <c r="B5" s="43" t="s">
        <v>270</v>
      </c>
    </row>
    <row r="6">
      <c r="A6" s="46" t="s">
        <v>271</v>
      </c>
      <c r="B6" s="43" t="s">
        <v>272</v>
      </c>
    </row>
    <row r="7">
      <c r="A7" s="46" t="s">
        <v>48</v>
      </c>
      <c r="B7" s="43" t="s">
        <v>273</v>
      </c>
    </row>
    <row r="8">
      <c r="A8" s="46" t="s">
        <v>18</v>
      </c>
      <c r="B8" s="43" t="s">
        <v>274</v>
      </c>
    </row>
    <row r="9">
      <c r="A9" s="46" t="s">
        <v>30</v>
      </c>
      <c r="B9" s="43" t="s">
        <v>275</v>
      </c>
    </row>
    <row r="10">
      <c r="A10" s="46"/>
      <c r="B10" s="43"/>
    </row>
    <row r="11">
      <c r="A11" s="44" t="s">
        <v>276</v>
      </c>
      <c r="B11" s="45"/>
    </row>
    <row r="12">
      <c r="A12" s="46" t="s">
        <v>277</v>
      </c>
      <c r="B12" s="43" t="s">
        <v>278</v>
      </c>
    </row>
    <row r="13">
      <c r="A13" s="46" t="s">
        <v>279</v>
      </c>
      <c r="B13" s="43" t="s">
        <v>280</v>
      </c>
    </row>
    <row r="14">
      <c r="A14" s="46" t="s">
        <v>281</v>
      </c>
      <c r="B14" s="43" t="s">
        <v>282</v>
      </c>
    </row>
    <row r="15">
      <c r="A15" s="46" t="s">
        <v>283</v>
      </c>
      <c r="B15" s="43" t="s">
        <v>284</v>
      </c>
    </row>
    <row r="16">
      <c r="A16" s="46" t="s">
        <v>285</v>
      </c>
      <c r="B16" s="43" t="s">
        <v>286</v>
      </c>
    </row>
    <row r="17">
      <c r="A17" s="46"/>
      <c r="B17" s="43"/>
    </row>
    <row r="18">
      <c r="A18" s="44" t="s">
        <v>287</v>
      </c>
      <c r="B18" s="45"/>
    </row>
    <row r="19">
      <c r="A19" s="46" t="s">
        <v>288</v>
      </c>
      <c r="B19" s="43" t="s">
        <v>289</v>
      </c>
    </row>
    <row r="20">
      <c r="A20" s="46" t="s">
        <v>290</v>
      </c>
      <c r="B20" s="43" t="s">
        <v>291</v>
      </c>
    </row>
    <row r="21" ht="15.75" customHeight="1">
      <c r="A21" s="46" t="s">
        <v>292</v>
      </c>
      <c r="B21" s="43" t="s">
        <v>293</v>
      </c>
    </row>
    <row r="22" ht="15.75" customHeight="1">
      <c r="A22" s="46" t="s">
        <v>294</v>
      </c>
      <c r="B22" s="43" t="s">
        <v>295</v>
      </c>
    </row>
    <row r="23" ht="15.75" customHeight="1">
      <c r="A23" s="46" t="s">
        <v>296</v>
      </c>
      <c r="B23" s="43" t="s">
        <v>297</v>
      </c>
    </row>
    <row r="24" ht="15.75" customHeight="1">
      <c r="A24" s="46"/>
      <c r="B24" s="43"/>
    </row>
    <row r="25" ht="15.75" customHeight="1">
      <c r="A25" s="44" t="s">
        <v>298</v>
      </c>
      <c r="B25" s="45"/>
    </row>
    <row r="26" ht="15.75" customHeight="1">
      <c r="A26" s="46" t="s">
        <v>299</v>
      </c>
      <c r="B26" s="43" t="s">
        <v>300</v>
      </c>
    </row>
    <row r="27" ht="15.75" customHeight="1">
      <c r="A27" s="46" t="s">
        <v>301</v>
      </c>
      <c r="B27" s="43" t="s">
        <v>302</v>
      </c>
    </row>
    <row r="28" ht="15.75" customHeight="1">
      <c r="A28" s="46" t="s">
        <v>175</v>
      </c>
      <c r="B28" s="43" t="s">
        <v>303</v>
      </c>
    </row>
    <row r="29" ht="15.75" customHeight="1">
      <c r="A29" s="46" t="s">
        <v>304</v>
      </c>
      <c r="B29" s="43" t="s">
        <v>305</v>
      </c>
    </row>
    <row r="30" ht="15.75" customHeight="1">
      <c r="A30" s="46" t="s">
        <v>306</v>
      </c>
      <c r="B30" s="43" t="s">
        <v>307</v>
      </c>
    </row>
    <row r="31" ht="15.75" customHeight="1">
      <c r="A31" s="46"/>
      <c r="B31" s="43"/>
    </row>
    <row r="32" ht="15.75" customHeight="1">
      <c r="A32" s="44" t="s">
        <v>308</v>
      </c>
      <c r="B32" s="45"/>
    </row>
    <row r="33" ht="15.75" customHeight="1">
      <c r="A33" s="46" t="s">
        <v>309</v>
      </c>
      <c r="B33" s="43" t="s">
        <v>310</v>
      </c>
    </row>
    <row r="34" ht="15.75" customHeight="1">
      <c r="A34" s="46" t="s">
        <v>311</v>
      </c>
      <c r="B34" s="43" t="s">
        <v>312</v>
      </c>
    </row>
    <row r="35" ht="15.75" customHeight="1">
      <c r="A35" s="46" t="s">
        <v>313</v>
      </c>
      <c r="B35" s="43" t="s">
        <v>314</v>
      </c>
    </row>
    <row r="36" ht="15.75" customHeight="1">
      <c r="A36" s="46" t="s">
        <v>315</v>
      </c>
      <c r="B36" s="43" t="s">
        <v>316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1.0" footer="0.0" header="0.0" left="0.75" right="0.75" top="1.0"/>
  <pageSetup paperSize="9" orientation="portrait"/>
  <drawing r:id="rId1"/>
</worksheet>
</file>