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Sizing Comparison" sheetId="3" state="visible" r:id="rId3"/>
    <sheet name="CF_Calc" sheetId="4" state="visible" r:id="rId4"/>
    <sheet name="Load Profile" sheetId="5" state="visible" r:id="rId5"/>
    <sheet name="Bill Impact" sheetId="6" state="visible" r:id="rId6"/>
    <sheet name="Dispatch" sheetId="7" state="visible" r:id="rId7"/>
    <sheet name="Cash Flow" sheetId="8" state="visible" r:id="rId8"/>
    <sheet name="Backup Resilience" sheetId="9" state="visible" r:id="rId9"/>
    <sheet name="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$0.0000"/>
    <numFmt numFmtId="165" formatCode="$0.00"/>
    <numFmt numFmtId="166" formatCode="$#,##0"/>
    <numFmt numFmtId="167" formatCode="0.0%"/>
    <numFmt numFmtId="168" formatCode="$0.000"/>
    <numFmt numFmtId="169" formatCode="0.0"/>
    <numFmt numFmtId="170" formatCode="0.0 &quot;yrs&quot;"/>
    <numFmt numFmtId="171" formatCode="#,##0 &quot;kWh&quot;"/>
    <numFmt numFmtId="172" formatCode="#,##0.0 &quot;kW&quot;"/>
    <numFmt numFmtId="173" formatCode="0.0 &quot;h&quot;"/>
  </numFmts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i val="1"/>
      <color rgb="00808080"/>
    </font>
    <font>
      <b val="1"/>
      <color rgb="00FFFFFF"/>
    </font>
    <font>
      <b val="1"/>
    </font>
    <font>
      <b val="1"/>
      <color rgb="001F4E78"/>
      <sz val="13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1" pivotButton="0" quotePrefix="0" xfId="0"/>
    <xf numFmtId="0" fontId="3" fillId="0" borderId="0" pivotButton="0" quotePrefix="0" xfId="0"/>
    <xf numFmtId="165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168" fontId="0" fillId="2" borderId="1" pivotButton="0" quotePrefix="0" xfId="0"/>
    <xf numFmtId="3" fontId="0" fillId="2" borderId="1" pivotButton="0" quotePrefix="0" xfId="0"/>
    <xf numFmtId="0" fontId="4" fillId="3" borderId="1" applyAlignment="1" pivotButton="0" quotePrefix="0" xfId="0">
      <alignment horizontal="center" wrapText="1"/>
    </xf>
    <xf numFmtId="0" fontId="0" fillId="0" borderId="1" pivotButton="0" quotePrefix="0" xfId="0"/>
    <xf numFmtId="169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0" fillId="4" borderId="1" pivotButton="0" quotePrefix="0" xfId="0"/>
    <xf numFmtId="169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0" fontId="0" fillId="5" borderId="1" pivotButton="0" quotePrefix="0" xfId="0"/>
    <xf numFmtId="169" fontId="0" fillId="5" borderId="1" pivotButton="0" quotePrefix="0" xfId="0"/>
    <xf numFmtId="166" fontId="0" fillId="5" borderId="1" pivotButton="0" quotePrefix="0" xfId="0"/>
    <xf numFmtId="167" fontId="0" fillId="5" borderId="1" pivotButton="0" quotePrefix="0" xfId="0"/>
    <xf numFmtId="0" fontId="5" fillId="0" borderId="0" pivotButton="0" quotePrefix="0" xfId="0"/>
    <xf numFmtId="166" fontId="6" fillId="5" borderId="1" pivotButton="0" quotePrefix="0" xfId="0"/>
    <xf numFmtId="170" fontId="6" fillId="5" borderId="1" pivotButton="0" quotePrefix="0" xfId="0"/>
    <xf numFmtId="167" fontId="6" fillId="5" borderId="1" pivotButton="0" quotePrefix="0" xfId="0"/>
    <xf numFmtId="0" fontId="5" fillId="6" borderId="1" pivotButton="0" quotePrefix="0" xfId="0"/>
    <xf numFmtId="0" fontId="7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67" fontId="0" fillId="0" borderId="0" pivotButton="0" quotePrefix="0" xfId="0"/>
    <xf numFmtId="0" fontId="5" fillId="0" borderId="1" pivotButton="0" quotePrefix="0" xfId="0"/>
    <xf numFmtId="166" fontId="5" fillId="0" borderId="1" pivotButton="0" quotePrefix="0" xfId="0"/>
    <xf numFmtId="166" fontId="0" fillId="0" borderId="0" pivotButton="0" quotePrefix="0" xfId="0"/>
    <xf numFmtId="169" fontId="0" fillId="0" borderId="0" pivotButton="0" quotePrefix="0" xfId="0"/>
    <xf numFmtId="173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Simple Payback by Size (yrs)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'Sizing Comparison'!L4</f>
            </strRef>
          </tx>
          <spPr>
            <a:ln>
              <a:prstDash val="solid"/>
            </a:ln>
          </spPr>
          <cat>
            <numRef>
              <f>'Sizing Comparison'!$B$5:$B$13</f>
            </numRef>
          </cat>
          <val>
            <numRef>
              <f>'Sizing Comparison'!$L$5:$L$13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Energy (kWh)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Energy (kWh)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'Load Profile'!B9</f>
            </strRef>
          </tx>
          <spPr>
            <a:ln>
              <a:prstDash val="solid"/>
            </a:ln>
          </spPr>
          <cat>
            <numRef>
              <f>'Load Profile'!$A$10:$A$21</f>
            </numRef>
          </cat>
          <val>
            <numRef>
              <f>'Load Profile'!$B$10:$B$21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Peak (kW)</a:t>
            </a:r>
          </a:p>
        </rich>
      </tx>
    </title>
    <plotArea>
      <lineChart>
        <grouping val="standard"/>
        <ser>
          <idx val="0"/>
          <order val="0"/>
          <tx>
            <strRef>
              <f>'Load Profile'!C9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Profile'!$A$10:$A$21</f>
            </numRef>
          </cat>
          <val>
            <numRef>
              <f>'Load Profile'!$C$10:$C$21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Bill Before vs After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'Bill Impact'!E3</f>
            </strRef>
          </tx>
          <spPr>
            <a:ln>
              <a:prstDash val="solid"/>
            </a:ln>
          </spPr>
          <cat>
            <numRef>
              <f>'Bill Impact'!$A$4:$A$15</f>
            </numRef>
          </cat>
          <val>
            <numRef>
              <f>'Bill Impact'!$E$4:$E$15</f>
            </numRef>
          </val>
        </ser>
        <ser>
          <idx val="1"/>
          <order val="1"/>
          <tx>
            <strRef>
              <f>'Bill Impact'!F3</f>
            </strRef>
          </tx>
          <spPr>
            <a:ln>
              <a:prstDash val="solid"/>
            </a:ln>
          </spPr>
          <cat>
            <numRef>
              <f>'Bill Impact'!$A$4:$A$15</f>
            </numRef>
          </cat>
          <val>
            <numRef>
              <f>'Bill Impact'!$F$4:$F$15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vs Net Grid Draw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'Dispatch'!$A$4:$A$171</f>
            </numRef>
          </cat>
          <val>
            <numRef>
              <f>'Dispatch'!$B$4:$B$171</f>
            </numRef>
          </val>
        </ser>
        <ser>
          <idx val="1"/>
          <order val="1"/>
          <tx>
            <strRef>
              <f>'Dispatch'!C3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'Dispatch'!$A$4:$A$171</f>
            </numRef>
          </cat>
          <val>
            <numRef>
              <f>'Dispatch'!$C$4:$C$171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SOC (kWh)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'Dispatch'!$A$4:$A$171</f>
            </numRef>
          </cat>
          <val>
            <numRef>
              <f>'Dispatch'!$D$4:$D$171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Cash Flow — Value pick: 50/150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Flow'!$A$6:$A$21</f>
            </numRef>
          </cat>
          <val>
            <numRef>
              <f>'Cash Flow'!$C$6:$C$21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Cash Flow — Deep shave: 100/300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Flow'!$E$6:$E$21</f>
            </numRef>
          </cat>
          <val>
            <numRef>
              <f>'Cash Flow'!$G$6:$G$21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72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27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2">
      <c r="B2" s="1" t="inlineStr">
        <is>
          <t>Castellan BESS — Behind-the-Meter Storage Model</t>
        </is>
      </c>
    </row>
    <row r="3">
      <c r="B3" s="4" t="inlineStr">
        <is>
          <t>Account 200027805928 · Ontario GS &gt;50 kW · built from interval data + 22 months of bills</t>
        </is>
      </c>
    </row>
    <row r="5">
      <c r="B5" s="2" t="inlineStr">
        <is>
          <t>THE SITUATION</t>
        </is>
      </c>
    </row>
    <row r="6">
      <c r="B6" t="inlineStr">
        <is>
          <t>• Winter-heating load: peaks ~115–120 kW in winter, &lt;25 kW summer (load factor 22%).</t>
        </is>
      </c>
    </row>
    <row r="7">
      <c r="B7" t="inlineStr">
        <is>
          <t>• Bill dominated by a demand charge ~$25.8/kW-month — each kW of peak ≈ $310/yr.</t>
        </is>
      </c>
    </row>
    <row r="8">
      <c r="B8" t="inlineStr">
        <is>
          <t>• A battery saves almost entirely by shaving the winter peak (flat energy rate → little arbitrage).</t>
        </is>
      </c>
    </row>
    <row r="9">
      <c r="B9" t="inlineStr">
        <is>
          <t>• Peaks are long plateaus (6–72 h) so the battery is energy-limited: duration matters, not power.</t>
        </is>
      </c>
    </row>
    <row r="11">
      <c r="B11" s="2" t="inlineStr">
        <is>
          <t>HEADLINE — value pick 50 kW / 150 kWh (live)</t>
        </is>
      </c>
    </row>
    <row r="12">
      <c r="B12" s="23" t="inlineStr">
        <is>
          <t>Yr-1 total benefit</t>
        </is>
      </c>
      <c r="E12" s="24">
        <f>'Sizing Comparison'!H7</f>
        <v/>
      </c>
    </row>
    <row r="13">
      <c r="B13" s="23" t="inlineStr">
        <is>
          <t>Net capex (after ITC)</t>
        </is>
      </c>
      <c r="E13" s="24">
        <f>'Sizing Comparison'!K7</f>
        <v/>
      </c>
    </row>
    <row r="14">
      <c r="B14" s="23" t="inlineStr">
        <is>
          <t>Simple payback</t>
        </is>
      </c>
      <c r="E14" s="25">
        <f>'Sizing Comparison'!L7</f>
        <v/>
      </c>
    </row>
    <row r="15">
      <c r="B15" s="23" t="inlineStr">
        <is>
          <t>15-yr NPV @ discount</t>
        </is>
      </c>
      <c r="E15" s="24">
        <f>'Sizing Comparison'!M7</f>
        <v/>
      </c>
    </row>
    <row r="16">
      <c r="B16" s="23" t="inlineStr">
        <is>
          <t>IRR</t>
        </is>
      </c>
      <c r="E16" s="26">
        <f>'Sizing Comparison'!N7</f>
        <v/>
      </c>
    </row>
    <row r="18">
      <c r="B18" s="2" t="inlineStr">
        <is>
          <t>HOW TO USE</t>
        </is>
      </c>
    </row>
    <row r="19">
      <c r="B19" s="27" t="inlineStr">
        <is>
          <t>Assumptions</t>
        </is>
      </c>
      <c r="C19" t="inlineStr">
        <is>
          <t>Edit yellow cells — tariff, battery, capex, ITC, value streams. All else recalcs.</t>
        </is>
      </c>
    </row>
    <row r="20">
      <c r="B20" s="27" t="inlineStr">
        <is>
          <t>Sizing Comparison</t>
        </is>
      </c>
      <c r="C20" t="inlineStr">
        <is>
          <t>9 sizes: benefit, capex, payback, NPV, IRR. Green = recommended.</t>
        </is>
      </c>
    </row>
    <row r="21">
      <c r="B21" s="27" t="inlineStr">
        <is>
          <t>Bill Impact</t>
        </is>
      </c>
      <c r="C21" t="inlineStr">
        <is>
          <t>Month-by-month bill before vs after.</t>
        </is>
      </c>
    </row>
    <row r="22">
      <c r="B22" s="27" t="inlineStr">
        <is>
          <t>Dispatch</t>
        </is>
      </c>
      <c r="C22" t="inlineStr">
        <is>
          <t>Hour-by-hour of what the battery does on a cold week + state of charge.</t>
        </is>
      </c>
    </row>
    <row r="23">
      <c r="B23" s="27" t="inlineStr">
        <is>
          <t>Cash Flow</t>
        </is>
      </c>
      <c r="C23" t="inlineStr">
        <is>
          <t>15-yr cash flow for two sizes with payback / NPV / IRR.</t>
        </is>
      </c>
    </row>
    <row r="24">
      <c r="B24" s="27" t="inlineStr">
        <is>
          <t>Backup Resilience</t>
        </is>
      </c>
      <c r="C24" t="inlineStr">
        <is>
          <t>Outage runtime by season.</t>
        </is>
      </c>
    </row>
    <row r="25">
      <c r="B25" s="27" t="inlineStr">
        <is>
          <t>Sensitivity</t>
        </is>
      </c>
      <c r="C25" t="inlineStr">
        <is>
          <t>Payback heat-map vs demand charge and battery cost.</t>
        </is>
      </c>
    </row>
    <row r="27">
      <c r="B27" s="28" t="inlineStr">
        <is>
          <t>⚠ Confirm the $25.84/kW demand charge (kW vs 15-min kVA) against the real tariff — it drives the whole result.</t>
        </is>
      </c>
    </row>
  </sheetData>
  <mergeCells count="12">
    <mergeCell ref="C21:G21"/>
    <mergeCell ref="C20:G20"/>
    <mergeCell ref="C24:G24"/>
    <mergeCell ref="B9:G9"/>
    <mergeCell ref="C25:G25"/>
    <mergeCell ref="B8:G8"/>
    <mergeCell ref="B27:G27"/>
    <mergeCell ref="C19:G19"/>
    <mergeCell ref="C23:G23"/>
    <mergeCell ref="C22:G2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6" customWidth="1" min="3" max="3"/>
  </cols>
  <sheetData>
    <row r="1">
      <c r="A1" s="1" t="inlineStr">
        <is>
          <t>Castellan BESS — Assumptions  (edit the YELLOW cells; everything recalculates)</t>
        </is>
      </c>
    </row>
    <row r="3">
      <c r="A3" s="2" t="inlineStr">
        <is>
          <t>TARIFF  (derived from 22 bills, R²=0.9994)</t>
        </is>
      </c>
    </row>
    <row r="4">
      <c r="A4" t="inlineStr">
        <is>
          <t>Energy rate ($/kWh)</t>
        </is>
      </c>
      <c r="B4" s="3" t="n">
        <v>0.1109</v>
      </c>
      <c r="C4" s="4" t="inlineStr">
        <is>
          <t>Blended commodity + delivery</t>
        </is>
      </c>
    </row>
    <row r="5">
      <c r="A5" t="inlineStr">
        <is>
          <t>Demand charge ($/kW-month)</t>
        </is>
      </c>
      <c r="B5" s="5" t="n">
        <v>25.84</v>
      </c>
      <c r="C5" s="4" t="inlineStr">
        <is>
          <t>⚠ CONFIRM vs tariff — drives everything</t>
        </is>
      </c>
    </row>
    <row r="6">
      <c r="A6" t="inlineStr">
        <is>
          <t>Fixed monthly charge ($)</t>
        </is>
      </c>
      <c r="B6" s="6" t="n">
        <v>137</v>
      </c>
      <c r="C6" s="4" t="inlineStr">
        <is>
          <t>Not affected by BESS</t>
        </is>
      </c>
    </row>
    <row r="7">
      <c r="A7" t="inlineStr">
        <is>
          <t>Demand-rate escalation (%/yr)</t>
        </is>
      </c>
      <c r="B7" s="7" t="n">
        <v>0.025</v>
      </c>
      <c r="C7" s="4" t="inlineStr">
        <is>
          <t>Utility inflation</t>
        </is>
      </c>
    </row>
    <row r="8">
      <c r="A8" t="inlineStr">
        <is>
          <t>TOU energy spread on-vs-off ($/kWh)</t>
        </is>
      </c>
      <c r="B8" s="8" t="n">
        <v>0</v>
      </c>
      <c r="C8" s="4" t="inlineStr">
        <is>
          <t>Set &gt;0 if on TOU/ULO to value arbitrage</t>
        </is>
      </c>
    </row>
    <row r="9">
      <c r="A9" t="inlineStr">
        <is>
          <t>Arbitrage cycles per year</t>
        </is>
      </c>
      <c r="B9" s="9" t="n">
        <v>250</v>
      </c>
      <c r="C9" s="4" t="inlineStr">
        <is>
          <t>Full charge/discharge cycles for arbitrage</t>
        </is>
      </c>
    </row>
    <row r="11">
      <c r="A11" s="2" t="inlineStr">
        <is>
          <t>BATTERY / TECH</t>
        </is>
      </c>
    </row>
    <row r="12">
      <c r="A12" t="inlineStr">
        <is>
          <t>Round-trip efficiency</t>
        </is>
      </c>
      <c r="B12" s="7" t="n">
        <v>0.9</v>
      </c>
    </row>
    <row r="13">
      <c r="A13" t="inlineStr">
        <is>
          <t>Usable depth of discharge</t>
        </is>
      </c>
      <c r="B13" s="7" t="n">
        <v>0.8</v>
      </c>
      <c r="C13" s="4" t="inlineStr">
        <is>
          <t>SOC 10–90%</t>
        </is>
      </c>
    </row>
    <row r="14">
      <c r="A14" t="inlineStr">
        <is>
          <t>Capacity degradation (%/yr)</t>
        </is>
      </c>
      <c r="B14" s="7" t="n">
        <v>0.025</v>
      </c>
      <c r="C14" s="4" t="inlineStr">
        <is>
          <t>Lowers savings over time</t>
        </is>
      </c>
    </row>
    <row r="16">
      <c r="A16" s="2" t="inlineStr">
        <is>
          <t>CAPEX (installed, CAD)</t>
        </is>
      </c>
    </row>
    <row r="17">
      <c r="A17" t="inlineStr">
        <is>
          <t>Power cost ($/kW)</t>
        </is>
      </c>
      <c r="B17" s="6" t="n">
        <v>400</v>
      </c>
      <c r="C17" s="4" t="inlineStr">
        <is>
          <t>Inverter / PCS</t>
        </is>
      </c>
    </row>
    <row r="18">
      <c r="A18" t="inlineStr">
        <is>
          <t>Energy cost ($/kWh)</t>
        </is>
      </c>
      <c r="B18" s="6" t="n">
        <v>500</v>
      </c>
      <c r="C18" s="4" t="inlineStr">
        <is>
          <t>Battery modules — set 0 to test</t>
        </is>
      </c>
    </row>
    <row r="19">
      <c r="A19" t="inlineStr">
        <is>
          <t>Fixed install / BOS ($)</t>
        </is>
      </c>
      <c r="B19" s="6" t="n">
        <v>20000</v>
      </c>
      <c r="C19" s="4" t="inlineStr">
        <is>
          <t>EPC, interconnect, controls</t>
        </is>
      </c>
    </row>
    <row r="20">
      <c r="A20" t="inlineStr">
        <is>
          <t>Clean-Tech ITC (%)</t>
        </is>
      </c>
      <c r="B20" s="7" t="n">
        <v>0.3</v>
      </c>
      <c r="C20" s="4" t="inlineStr">
        <is>
          <t>Federal refundable credit</t>
        </is>
      </c>
    </row>
    <row r="22">
      <c r="A22" s="2" t="inlineStr">
        <is>
          <t>OPERATING / FINANCE  (model horizon = 15 yrs)</t>
        </is>
      </c>
    </row>
    <row r="23">
      <c r="A23" t="inlineStr">
        <is>
          <t>O&amp;M (% of capex / yr)</t>
        </is>
      </c>
      <c r="B23" s="7" t="n">
        <v>0.015</v>
      </c>
    </row>
    <row r="24">
      <c r="A24" t="inlineStr">
        <is>
          <t>O&amp;M inflation (%/yr)</t>
        </is>
      </c>
      <c r="B24" s="7" t="n">
        <v>0.02</v>
      </c>
    </row>
    <row r="25">
      <c r="A25" t="inlineStr">
        <is>
          <t>Discount rate (%)</t>
        </is>
      </c>
      <c r="B25" s="7" t="n">
        <v>0.08</v>
      </c>
      <c r="C25" s="4" t="inlineStr">
        <is>
          <t>For NPV</t>
        </is>
      </c>
    </row>
    <row r="26">
      <c r="A26" t="inlineStr">
        <is>
          <t>Resilience / backup value ($/yr)</t>
        </is>
      </c>
      <c r="B26" s="6" t="n">
        <v>0</v>
      </c>
      <c r="C26" s="4" t="inlineStr">
        <is>
          <t>Optional $ you assign to outage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Battery Sizing Comparison — all formulas live off the Assumptions tab</t>
        </is>
      </c>
    </row>
    <row r="2">
      <c r="A2" s="4" t="inlineStr">
        <is>
          <t>Annual benefit = demand savings (kW shaved × demand rate) + arbitrage + resilience value.</t>
        </is>
      </c>
    </row>
    <row r="4">
      <c r="A4" s="10" t="inlineStr">
        <is>
          <t>Power
(kW)</t>
        </is>
      </c>
      <c r="B4" s="10" t="inlineStr">
        <is>
          <t>Energy
(kWh)</t>
        </is>
      </c>
      <c r="C4" s="10" t="inlineStr">
        <is>
          <t>Dur
(h)</t>
        </is>
      </c>
      <c r="D4" s="10" t="inlineStr">
        <is>
          <t>kW-mo
shaved/yr</t>
        </is>
      </c>
      <c r="E4" s="10" t="inlineStr">
        <is>
          <t>Demand
savings $</t>
        </is>
      </c>
      <c r="F4" s="10" t="inlineStr">
        <is>
          <t>Arbitrage
$/yr</t>
        </is>
      </c>
      <c r="G4" s="10" t="inlineStr">
        <is>
          <t>Resilience
$/yr</t>
        </is>
      </c>
      <c r="H4" s="10" t="inlineStr">
        <is>
          <t>Yr-1 total
benefit $</t>
        </is>
      </c>
      <c r="I4" s="10" t="inlineStr">
        <is>
          <t>Capex $</t>
        </is>
      </c>
      <c r="J4" s="10" t="inlineStr">
        <is>
          <t>ITC $</t>
        </is>
      </c>
      <c r="K4" s="10" t="inlineStr">
        <is>
          <t>Net capex $</t>
        </is>
      </c>
      <c r="L4" s="10" t="inlineStr">
        <is>
          <t>Payback
(yr)</t>
        </is>
      </c>
      <c r="M4" s="10" t="inlineStr">
        <is>
          <t>15-yr
NPV $</t>
        </is>
      </c>
      <c r="N4" s="10" t="inlineStr">
        <is>
          <t>IRR</t>
        </is>
      </c>
    </row>
    <row r="5">
      <c r="A5" s="11" t="n">
        <v>30</v>
      </c>
      <c r="B5" s="11" t="n">
        <v>60</v>
      </c>
      <c r="C5" s="12">
        <f>B5/A5</f>
        <v/>
      </c>
      <c r="D5" s="12" t="n">
        <v>153.9</v>
      </c>
      <c r="E5" s="13">
        <f>D5*Assumptions!$B$5</f>
        <v/>
      </c>
      <c r="F5" s="13">
        <f>B5*Assumptions!$B$13*Assumptions!$B$8*Assumptions!$B$9*Assumptions!$B$12</f>
        <v/>
      </c>
      <c r="G5" s="13">
        <f>Assumptions!$B$26</f>
        <v/>
      </c>
      <c r="H5" s="13">
        <f>E5+F5+G5</f>
        <v/>
      </c>
      <c r="I5" s="13">
        <f>A5*Assumptions!$B$17+B5*Assumptions!$B$18+Assumptions!$B$19</f>
        <v/>
      </c>
      <c r="J5" s="13">
        <f>I5*Assumptions!$B$20</f>
        <v/>
      </c>
      <c r="K5" s="13">
        <f>I5-J5</f>
        <v/>
      </c>
      <c r="L5" s="12">
        <f>K5/H5</f>
        <v/>
      </c>
      <c r="M5" s="13">
        <f>'CF_Calc'!U5</f>
        <v/>
      </c>
      <c r="N5" s="14">
        <f>'CF_Calc'!V5</f>
        <v/>
      </c>
    </row>
    <row r="6">
      <c r="A6" s="15" t="n">
        <v>50</v>
      </c>
      <c r="B6" s="15" t="n">
        <v>100</v>
      </c>
      <c r="C6" s="16">
        <f>B6/A6</f>
        <v/>
      </c>
      <c r="D6" s="16" t="n">
        <v>199.7</v>
      </c>
      <c r="E6" s="17">
        <f>D6*Assumptions!$B$5</f>
        <v/>
      </c>
      <c r="F6" s="17">
        <f>B6*Assumptions!$B$13*Assumptions!$B$8*Assumptions!$B$9*Assumptions!$B$12</f>
        <v/>
      </c>
      <c r="G6" s="17">
        <f>Assumptions!$B$26</f>
        <v/>
      </c>
      <c r="H6" s="17">
        <f>E6+F6+G6</f>
        <v/>
      </c>
      <c r="I6" s="17">
        <f>A6*Assumptions!$B$17+B6*Assumptions!$B$18+Assumptions!$B$19</f>
        <v/>
      </c>
      <c r="J6" s="17">
        <f>I6*Assumptions!$B$20</f>
        <v/>
      </c>
      <c r="K6" s="17">
        <f>I6-J6</f>
        <v/>
      </c>
      <c r="L6" s="16">
        <f>K6/H6</f>
        <v/>
      </c>
      <c r="M6" s="17">
        <f>'CF_Calc'!U6</f>
        <v/>
      </c>
      <c r="N6" s="18">
        <f>'CF_Calc'!V6</f>
        <v/>
      </c>
    </row>
    <row r="7">
      <c r="A7" s="19" t="n">
        <v>50</v>
      </c>
      <c r="B7" s="19" t="n">
        <v>150</v>
      </c>
      <c r="C7" s="20">
        <f>B7/A7</f>
        <v/>
      </c>
      <c r="D7" s="20" t="n">
        <v>238.7</v>
      </c>
      <c r="E7" s="21">
        <f>D7*Assumptions!$B$5</f>
        <v/>
      </c>
      <c r="F7" s="21">
        <f>B7*Assumptions!$B$13*Assumptions!$B$8*Assumptions!$B$9*Assumptions!$B$12</f>
        <v/>
      </c>
      <c r="G7" s="21">
        <f>Assumptions!$B$26</f>
        <v/>
      </c>
      <c r="H7" s="21">
        <f>E7+F7+G7</f>
        <v/>
      </c>
      <c r="I7" s="21">
        <f>A7*Assumptions!$B$17+B7*Assumptions!$B$18+Assumptions!$B$19</f>
        <v/>
      </c>
      <c r="J7" s="21">
        <f>I7*Assumptions!$B$20</f>
        <v/>
      </c>
      <c r="K7" s="21">
        <f>I7-J7</f>
        <v/>
      </c>
      <c r="L7" s="20">
        <f>K7/H7</f>
        <v/>
      </c>
      <c r="M7" s="21">
        <f>'CF_Calc'!U7</f>
        <v/>
      </c>
      <c r="N7" s="22">
        <f>'CF_Calc'!V7</f>
        <v/>
      </c>
    </row>
    <row r="8">
      <c r="A8" s="15" t="n">
        <v>75</v>
      </c>
      <c r="B8" s="15" t="n">
        <v>150</v>
      </c>
      <c r="C8" s="16">
        <f>B8/A8</f>
        <v/>
      </c>
      <c r="D8" s="16" t="n">
        <v>238.7</v>
      </c>
      <c r="E8" s="17">
        <f>D8*Assumptions!$B$5</f>
        <v/>
      </c>
      <c r="F8" s="17">
        <f>B8*Assumptions!$B$13*Assumptions!$B$8*Assumptions!$B$9*Assumptions!$B$12</f>
        <v/>
      </c>
      <c r="G8" s="17">
        <f>Assumptions!$B$26</f>
        <v/>
      </c>
      <c r="H8" s="17">
        <f>E8+F8+G8</f>
        <v/>
      </c>
      <c r="I8" s="17">
        <f>A8*Assumptions!$B$17+B8*Assumptions!$B$18+Assumptions!$B$19</f>
        <v/>
      </c>
      <c r="J8" s="17">
        <f>I8*Assumptions!$B$20</f>
        <v/>
      </c>
      <c r="K8" s="17">
        <f>I8-J8</f>
        <v/>
      </c>
      <c r="L8" s="16">
        <f>K8/H8</f>
        <v/>
      </c>
      <c r="M8" s="17">
        <f>'CF_Calc'!U8</f>
        <v/>
      </c>
      <c r="N8" s="18">
        <f>'CF_Calc'!V8</f>
        <v/>
      </c>
    </row>
    <row r="9">
      <c r="A9" s="11" t="n">
        <v>100</v>
      </c>
      <c r="B9" s="11" t="n">
        <v>200</v>
      </c>
      <c r="C9" s="12">
        <f>B9/A9</f>
        <v/>
      </c>
      <c r="D9" s="12" t="n">
        <v>261</v>
      </c>
      <c r="E9" s="13">
        <f>D9*Assumptions!$B$5</f>
        <v/>
      </c>
      <c r="F9" s="13">
        <f>B9*Assumptions!$B$13*Assumptions!$B$8*Assumptions!$B$9*Assumptions!$B$12</f>
        <v/>
      </c>
      <c r="G9" s="13">
        <f>Assumptions!$B$26</f>
        <v/>
      </c>
      <c r="H9" s="13">
        <f>E9+F9+G9</f>
        <v/>
      </c>
      <c r="I9" s="13">
        <f>A9*Assumptions!$B$17+B9*Assumptions!$B$18+Assumptions!$B$19</f>
        <v/>
      </c>
      <c r="J9" s="13">
        <f>I9*Assumptions!$B$20</f>
        <v/>
      </c>
      <c r="K9" s="13">
        <f>I9-J9</f>
        <v/>
      </c>
      <c r="L9" s="12">
        <f>K9/H9</f>
        <v/>
      </c>
      <c r="M9" s="13">
        <f>'CF_Calc'!U9</f>
        <v/>
      </c>
      <c r="N9" s="14">
        <f>'CF_Calc'!V9</f>
        <v/>
      </c>
    </row>
    <row r="10">
      <c r="A10" s="15" t="n">
        <v>100</v>
      </c>
      <c r="B10" s="15" t="n">
        <v>300</v>
      </c>
      <c r="C10" s="16">
        <f>B10/A10</f>
        <v/>
      </c>
      <c r="D10" s="16" t="n">
        <v>285.8</v>
      </c>
      <c r="E10" s="17">
        <f>D10*Assumptions!$B$5</f>
        <v/>
      </c>
      <c r="F10" s="17">
        <f>B10*Assumptions!$B$13*Assumptions!$B$8*Assumptions!$B$9*Assumptions!$B$12</f>
        <v/>
      </c>
      <c r="G10" s="17">
        <f>Assumptions!$B$26</f>
        <v/>
      </c>
      <c r="H10" s="17">
        <f>E10+F10+G10</f>
        <v/>
      </c>
      <c r="I10" s="17">
        <f>A10*Assumptions!$B$17+B10*Assumptions!$B$18+Assumptions!$B$19</f>
        <v/>
      </c>
      <c r="J10" s="17">
        <f>I10*Assumptions!$B$20</f>
        <v/>
      </c>
      <c r="K10" s="17">
        <f>I10-J10</f>
        <v/>
      </c>
      <c r="L10" s="16">
        <f>K10/H10</f>
        <v/>
      </c>
      <c r="M10" s="17">
        <f>'CF_Calc'!U10</f>
        <v/>
      </c>
      <c r="N10" s="18">
        <f>'CF_Calc'!V10</f>
        <v/>
      </c>
    </row>
    <row r="11">
      <c r="A11" s="11" t="n">
        <v>100</v>
      </c>
      <c r="B11" s="11" t="n">
        <v>400</v>
      </c>
      <c r="C11" s="12">
        <f>B11/A11</f>
        <v/>
      </c>
      <c r="D11" s="12" t="n">
        <v>301.2</v>
      </c>
      <c r="E11" s="13">
        <f>D11*Assumptions!$B$5</f>
        <v/>
      </c>
      <c r="F11" s="13">
        <f>B11*Assumptions!$B$13*Assumptions!$B$8*Assumptions!$B$9*Assumptions!$B$12</f>
        <v/>
      </c>
      <c r="G11" s="13">
        <f>Assumptions!$B$26</f>
        <v/>
      </c>
      <c r="H11" s="13">
        <f>E11+F11+G11</f>
        <v/>
      </c>
      <c r="I11" s="13">
        <f>A11*Assumptions!$B$17+B11*Assumptions!$B$18+Assumptions!$B$19</f>
        <v/>
      </c>
      <c r="J11" s="13">
        <f>I11*Assumptions!$B$20</f>
        <v/>
      </c>
      <c r="K11" s="13">
        <f>I11-J11</f>
        <v/>
      </c>
      <c r="L11" s="12">
        <f>K11/H11</f>
        <v/>
      </c>
      <c r="M11" s="13">
        <f>'CF_Calc'!U11</f>
        <v/>
      </c>
      <c r="N11" s="14">
        <f>'CF_Calc'!V11</f>
        <v/>
      </c>
    </row>
    <row r="12">
      <c r="A12" s="15" t="n">
        <v>150</v>
      </c>
      <c r="B12" s="15" t="n">
        <v>300</v>
      </c>
      <c r="C12" s="16">
        <f>B12/A12</f>
        <v/>
      </c>
      <c r="D12" s="16" t="n">
        <v>285.8</v>
      </c>
      <c r="E12" s="17">
        <f>D12*Assumptions!$B$5</f>
        <v/>
      </c>
      <c r="F12" s="17">
        <f>B12*Assumptions!$B$13*Assumptions!$B$8*Assumptions!$B$9*Assumptions!$B$12</f>
        <v/>
      </c>
      <c r="G12" s="17">
        <f>Assumptions!$B$26</f>
        <v/>
      </c>
      <c r="H12" s="17">
        <f>E12+F12+G12</f>
        <v/>
      </c>
      <c r="I12" s="17">
        <f>A12*Assumptions!$B$17+B12*Assumptions!$B$18+Assumptions!$B$19</f>
        <v/>
      </c>
      <c r="J12" s="17">
        <f>I12*Assumptions!$B$20</f>
        <v/>
      </c>
      <c r="K12" s="17">
        <f>I12-J12</f>
        <v/>
      </c>
      <c r="L12" s="16">
        <f>K12/H12</f>
        <v/>
      </c>
      <c r="M12" s="17">
        <f>'CF_Calc'!U12</f>
        <v/>
      </c>
      <c r="N12" s="18">
        <f>'CF_Calc'!V12</f>
        <v/>
      </c>
    </row>
    <row r="13">
      <c r="A13" s="11" t="n">
        <v>200</v>
      </c>
      <c r="B13" s="11" t="n">
        <v>400</v>
      </c>
      <c r="C13" s="12">
        <f>B13/A13</f>
        <v/>
      </c>
      <c r="D13" s="12" t="n">
        <v>301.2</v>
      </c>
      <c r="E13" s="13">
        <f>D13*Assumptions!$B$5</f>
        <v/>
      </c>
      <c r="F13" s="13">
        <f>B13*Assumptions!$B$13*Assumptions!$B$8*Assumptions!$B$9*Assumptions!$B$12</f>
        <v/>
      </c>
      <c r="G13" s="13">
        <f>Assumptions!$B$26</f>
        <v/>
      </c>
      <c r="H13" s="13">
        <f>E13+F13+G13</f>
        <v/>
      </c>
      <c r="I13" s="13">
        <f>A13*Assumptions!$B$17+B13*Assumptions!$B$18+Assumptions!$B$19</f>
        <v/>
      </c>
      <c r="J13" s="13">
        <f>I13*Assumptions!$B$20</f>
        <v/>
      </c>
      <c r="K13" s="13">
        <f>I13-J13</f>
        <v/>
      </c>
      <c r="L13" s="12">
        <f>K13/H13</f>
        <v/>
      </c>
      <c r="M13" s="13">
        <f>'CF_Calc'!U13</f>
        <v/>
      </c>
      <c r="N13" s="14">
        <f>'CF_Calc'!V13</f>
        <v/>
      </c>
    </row>
    <row r="15">
      <c r="A15" s="4" t="inlineStr">
        <is>
          <t>Green = value pick. Change Energy cost to 0 on Assumptions and watch Capex/Payback/NPV/IRR all move.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Cash-flow engine (15 yrs) — feeds NPV/IRR on Sizing Comparison. Live.</t>
        </is>
      </c>
    </row>
    <row r="4">
      <c r="A4" s="10" t="inlineStr">
        <is>
          <t>size</t>
        </is>
      </c>
      <c r="B4" s="10" t="inlineStr">
        <is>
          <t>net</t>
        </is>
      </c>
      <c r="C4" s="10" t="inlineStr">
        <is>
          <t>benefit</t>
        </is>
      </c>
      <c r="D4" s="10" t="inlineStr">
        <is>
          <t>capex</t>
        </is>
      </c>
      <c r="E4" s="10" t="inlineStr">
        <is>
          <t>Y0</t>
        </is>
      </c>
      <c r="F4" s="10" t="inlineStr">
        <is>
          <t>Y1</t>
        </is>
      </c>
      <c r="G4" s="10" t="inlineStr">
        <is>
          <t>Y2</t>
        </is>
      </c>
      <c r="H4" s="10" t="inlineStr">
        <is>
          <t>Y3</t>
        </is>
      </c>
      <c r="I4" s="10" t="inlineStr">
        <is>
          <t>Y4</t>
        </is>
      </c>
      <c r="J4" s="10" t="inlineStr">
        <is>
          <t>Y5</t>
        </is>
      </c>
      <c r="K4" s="10" t="inlineStr">
        <is>
          <t>Y6</t>
        </is>
      </c>
      <c r="L4" s="10" t="inlineStr">
        <is>
          <t>Y7</t>
        </is>
      </c>
      <c r="M4" s="10" t="inlineStr">
        <is>
          <t>Y8</t>
        </is>
      </c>
      <c r="N4" s="10" t="inlineStr">
        <is>
          <t>Y9</t>
        </is>
      </c>
      <c r="O4" s="10" t="inlineStr">
        <is>
          <t>Y10</t>
        </is>
      </c>
      <c r="P4" s="10" t="inlineStr">
        <is>
          <t>Y11</t>
        </is>
      </c>
      <c r="Q4" s="10" t="inlineStr">
        <is>
          <t>Y12</t>
        </is>
      </c>
      <c r="R4" s="10" t="inlineStr">
        <is>
          <t>Y13</t>
        </is>
      </c>
      <c r="S4" s="10" t="inlineStr">
        <is>
          <t>Y14</t>
        </is>
      </c>
      <c r="T4" s="10" t="inlineStr">
        <is>
          <t>Y15</t>
        </is>
      </c>
      <c r="U4" s="10" t="inlineStr">
        <is>
          <t>NPV</t>
        </is>
      </c>
      <c r="V4" s="10" t="inlineStr">
        <is>
          <t>IRR</t>
        </is>
      </c>
    </row>
    <row r="5">
      <c r="A5" s="11" t="inlineStr">
        <is>
          <t>30/60</t>
        </is>
      </c>
      <c r="B5" s="11">
        <f>'Sizing Comparison'!K5</f>
        <v/>
      </c>
      <c r="C5" s="11">
        <f>'Sizing Comparison'!H5</f>
        <v/>
      </c>
      <c r="D5" s="11">
        <f>'Sizing Comparison'!I5</f>
        <v/>
      </c>
      <c r="E5" s="11">
        <f>-B5</f>
        <v/>
      </c>
      <c r="F5" s="11">
        <f>C5*(1+Assumptions!$B$7)^0*(1-Assumptions!$B$14*0)-D5*Assumptions!$B$23*(1+Assumptions!$B$24)^0</f>
        <v/>
      </c>
      <c r="G5" s="11">
        <f>C5*(1+Assumptions!$B$7)^1*(1-Assumptions!$B$14*1)-D5*Assumptions!$B$23*(1+Assumptions!$B$24)^1</f>
        <v/>
      </c>
      <c r="H5" s="11">
        <f>C5*(1+Assumptions!$B$7)^2*(1-Assumptions!$B$14*2)-D5*Assumptions!$B$23*(1+Assumptions!$B$24)^2</f>
        <v/>
      </c>
      <c r="I5" s="11">
        <f>C5*(1+Assumptions!$B$7)^3*(1-Assumptions!$B$14*3)-D5*Assumptions!$B$23*(1+Assumptions!$B$24)^3</f>
        <v/>
      </c>
      <c r="J5" s="11">
        <f>C5*(1+Assumptions!$B$7)^4*(1-Assumptions!$B$14*4)-D5*Assumptions!$B$23*(1+Assumptions!$B$24)^4</f>
        <v/>
      </c>
      <c r="K5" s="11">
        <f>C5*(1+Assumptions!$B$7)^5*(1-Assumptions!$B$14*5)-D5*Assumptions!$B$23*(1+Assumptions!$B$24)^5</f>
        <v/>
      </c>
      <c r="L5" s="11">
        <f>C5*(1+Assumptions!$B$7)^6*(1-Assumptions!$B$14*6)-D5*Assumptions!$B$23*(1+Assumptions!$B$24)^6</f>
        <v/>
      </c>
      <c r="M5" s="11">
        <f>C5*(1+Assumptions!$B$7)^7*(1-Assumptions!$B$14*7)-D5*Assumptions!$B$23*(1+Assumptions!$B$24)^7</f>
        <v/>
      </c>
      <c r="N5" s="11">
        <f>C5*(1+Assumptions!$B$7)^8*(1-Assumptions!$B$14*8)-D5*Assumptions!$B$23*(1+Assumptions!$B$24)^8</f>
        <v/>
      </c>
      <c r="O5" s="11">
        <f>C5*(1+Assumptions!$B$7)^9*(1-Assumptions!$B$14*9)-D5*Assumptions!$B$23*(1+Assumptions!$B$24)^9</f>
        <v/>
      </c>
      <c r="P5" s="11">
        <f>C5*(1+Assumptions!$B$7)^10*(1-Assumptions!$B$14*10)-D5*Assumptions!$B$23*(1+Assumptions!$B$24)^10</f>
        <v/>
      </c>
      <c r="Q5" s="11">
        <f>C5*(1+Assumptions!$B$7)^11*(1-Assumptions!$B$14*11)-D5*Assumptions!$B$23*(1+Assumptions!$B$24)^11</f>
        <v/>
      </c>
      <c r="R5" s="11">
        <f>C5*(1+Assumptions!$B$7)^12*(1-Assumptions!$B$14*12)-D5*Assumptions!$B$23*(1+Assumptions!$B$24)^12</f>
        <v/>
      </c>
      <c r="S5" s="11">
        <f>C5*(1+Assumptions!$B$7)^13*(1-Assumptions!$B$14*13)-D5*Assumptions!$B$23*(1+Assumptions!$B$24)^13</f>
        <v/>
      </c>
      <c r="T5" s="11">
        <f>C5*(1+Assumptions!$B$7)^14*(1-Assumptions!$B$14*14)-D5*Assumptions!$B$23*(1+Assumptions!$B$24)^14</f>
        <v/>
      </c>
      <c r="U5" s="11">
        <f>NPV(Assumptions!$B$25,F5:T5)+E5</f>
        <v/>
      </c>
      <c r="V5" s="11">
        <f>IFERROR(IRR(E5:T5),"-")</f>
        <v/>
      </c>
    </row>
    <row r="6">
      <c r="A6" s="11" t="inlineStr">
        <is>
          <t>50/100</t>
        </is>
      </c>
      <c r="B6" s="11">
        <f>'Sizing Comparison'!K6</f>
        <v/>
      </c>
      <c r="C6" s="11">
        <f>'Sizing Comparison'!H6</f>
        <v/>
      </c>
      <c r="D6" s="11">
        <f>'Sizing Comparison'!I6</f>
        <v/>
      </c>
      <c r="E6" s="11">
        <f>-B6</f>
        <v/>
      </c>
      <c r="F6" s="11">
        <f>C6*(1+Assumptions!$B$7)^0*(1-Assumptions!$B$14*0)-D6*Assumptions!$B$23*(1+Assumptions!$B$24)^0</f>
        <v/>
      </c>
      <c r="G6" s="11">
        <f>C6*(1+Assumptions!$B$7)^1*(1-Assumptions!$B$14*1)-D6*Assumptions!$B$23*(1+Assumptions!$B$24)^1</f>
        <v/>
      </c>
      <c r="H6" s="11">
        <f>C6*(1+Assumptions!$B$7)^2*(1-Assumptions!$B$14*2)-D6*Assumptions!$B$23*(1+Assumptions!$B$24)^2</f>
        <v/>
      </c>
      <c r="I6" s="11">
        <f>C6*(1+Assumptions!$B$7)^3*(1-Assumptions!$B$14*3)-D6*Assumptions!$B$23*(1+Assumptions!$B$24)^3</f>
        <v/>
      </c>
      <c r="J6" s="11">
        <f>C6*(1+Assumptions!$B$7)^4*(1-Assumptions!$B$14*4)-D6*Assumptions!$B$23*(1+Assumptions!$B$24)^4</f>
        <v/>
      </c>
      <c r="K6" s="11">
        <f>C6*(1+Assumptions!$B$7)^5*(1-Assumptions!$B$14*5)-D6*Assumptions!$B$23*(1+Assumptions!$B$24)^5</f>
        <v/>
      </c>
      <c r="L6" s="11">
        <f>C6*(1+Assumptions!$B$7)^6*(1-Assumptions!$B$14*6)-D6*Assumptions!$B$23*(1+Assumptions!$B$24)^6</f>
        <v/>
      </c>
      <c r="M6" s="11">
        <f>C6*(1+Assumptions!$B$7)^7*(1-Assumptions!$B$14*7)-D6*Assumptions!$B$23*(1+Assumptions!$B$24)^7</f>
        <v/>
      </c>
      <c r="N6" s="11">
        <f>C6*(1+Assumptions!$B$7)^8*(1-Assumptions!$B$14*8)-D6*Assumptions!$B$23*(1+Assumptions!$B$24)^8</f>
        <v/>
      </c>
      <c r="O6" s="11">
        <f>C6*(1+Assumptions!$B$7)^9*(1-Assumptions!$B$14*9)-D6*Assumptions!$B$23*(1+Assumptions!$B$24)^9</f>
        <v/>
      </c>
      <c r="P6" s="11">
        <f>C6*(1+Assumptions!$B$7)^10*(1-Assumptions!$B$14*10)-D6*Assumptions!$B$23*(1+Assumptions!$B$24)^10</f>
        <v/>
      </c>
      <c r="Q6" s="11">
        <f>C6*(1+Assumptions!$B$7)^11*(1-Assumptions!$B$14*11)-D6*Assumptions!$B$23*(1+Assumptions!$B$24)^11</f>
        <v/>
      </c>
      <c r="R6" s="11">
        <f>C6*(1+Assumptions!$B$7)^12*(1-Assumptions!$B$14*12)-D6*Assumptions!$B$23*(1+Assumptions!$B$24)^12</f>
        <v/>
      </c>
      <c r="S6" s="11">
        <f>C6*(1+Assumptions!$B$7)^13*(1-Assumptions!$B$14*13)-D6*Assumptions!$B$23*(1+Assumptions!$B$24)^13</f>
        <v/>
      </c>
      <c r="T6" s="11">
        <f>C6*(1+Assumptions!$B$7)^14*(1-Assumptions!$B$14*14)-D6*Assumptions!$B$23*(1+Assumptions!$B$24)^14</f>
        <v/>
      </c>
      <c r="U6" s="11">
        <f>NPV(Assumptions!$B$25,F6:T6)+E6</f>
        <v/>
      </c>
      <c r="V6" s="11">
        <f>IFERROR(IRR(E6:T6),"-")</f>
        <v/>
      </c>
    </row>
    <row r="7">
      <c r="A7" s="11" t="inlineStr">
        <is>
          <t>50/150</t>
        </is>
      </c>
      <c r="B7" s="11">
        <f>'Sizing Comparison'!K7</f>
        <v/>
      </c>
      <c r="C7" s="11">
        <f>'Sizing Comparison'!H7</f>
        <v/>
      </c>
      <c r="D7" s="11">
        <f>'Sizing Comparison'!I7</f>
        <v/>
      </c>
      <c r="E7" s="11">
        <f>-B7</f>
        <v/>
      </c>
      <c r="F7" s="11">
        <f>C7*(1+Assumptions!$B$7)^0*(1-Assumptions!$B$14*0)-D7*Assumptions!$B$23*(1+Assumptions!$B$24)^0</f>
        <v/>
      </c>
      <c r="G7" s="11">
        <f>C7*(1+Assumptions!$B$7)^1*(1-Assumptions!$B$14*1)-D7*Assumptions!$B$23*(1+Assumptions!$B$24)^1</f>
        <v/>
      </c>
      <c r="H7" s="11">
        <f>C7*(1+Assumptions!$B$7)^2*(1-Assumptions!$B$14*2)-D7*Assumptions!$B$23*(1+Assumptions!$B$24)^2</f>
        <v/>
      </c>
      <c r="I7" s="11">
        <f>C7*(1+Assumptions!$B$7)^3*(1-Assumptions!$B$14*3)-D7*Assumptions!$B$23*(1+Assumptions!$B$24)^3</f>
        <v/>
      </c>
      <c r="J7" s="11">
        <f>C7*(1+Assumptions!$B$7)^4*(1-Assumptions!$B$14*4)-D7*Assumptions!$B$23*(1+Assumptions!$B$24)^4</f>
        <v/>
      </c>
      <c r="K7" s="11">
        <f>C7*(1+Assumptions!$B$7)^5*(1-Assumptions!$B$14*5)-D7*Assumptions!$B$23*(1+Assumptions!$B$24)^5</f>
        <v/>
      </c>
      <c r="L7" s="11">
        <f>C7*(1+Assumptions!$B$7)^6*(1-Assumptions!$B$14*6)-D7*Assumptions!$B$23*(1+Assumptions!$B$24)^6</f>
        <v/>
      </c>
      <c r="M7" s="11">
        <f>C7*(1+Assumptions!$B$7)^7*(1-Assumptions!$B$14*7)-D7*Assumptions!$B$23*(1+Assumptions!$B$24)^7</f>
        <v/>
      </c>
      <c r="N7" s="11">
        <f>C7*(1+Assumptions!$B$7)^8*(1-Assumptions!$B$14*8)-D7*Assumptions!$B$23*(1+Assumptions!$B$24)^8</f>
        <v/>
      </c>
      <c r="O7" s="11">
        <f>C7*(1+Assumptions!$B$7)^9*(1-Assumptions!$B$14*9)-D7*Assumptions!$B$23*(1+Assumptions!$B$24)^9</f>
        <v/>
      </c>
      <c r="P7" s="11">
        <f>C7*(1+Assumptions!$B$7)^10*(1-Assumptions!$B$14*10)-D7*Assumptions!$B$23*(1+Assumptions!$B$24)^10</f>
        <v/>
      </c>
      <c r="Q7" s="11">
        <f>C7*(1+Assumptions!$B$7)^11*(1-Assumptions!$B$14*11)-D7*Assumptions!$B$23*(1+Assumptions!$B$24)^11</f>
        <v/>
      </c>
      <c r="R7" s="11">
        <f>C7*(1+Assumptions!$B$7)^12*(1-Assumptions!$B$14*12)-D7*Assumptions!$B$23*(1+Assumptions!$B$24)^12</f>
        <v/>
      </c>
      <c r="S7" s="11">
        <f>C7*(1+Assumptions!$B$7)^13*(1-Assumptions!$B$14*13)-D7*Assumptions!$B$23*(1+Assumptions!$B$24)^13</f>
        <v/>
      </c>
      <c r="T7" s="11">
        <f>C7*(1+Assumptions!$B$7)^14*(1-Assumptions!$B$14*14)-D7*Assumptions!$B$23*(1+Assumptions!$B$24)^14</f>
        <v/>
      </c>
      <c r="U7" s="11">
        <f>NPV(Assumptions!$B$25,F7:T7)+E7</f>
        <v/>
      </c>
      <c r="V7" s="11">
        <f>IFERROR(IRR(E7:T7),"-")</f>
        <v/>
      </c>
    </row>
    <row r="8">
      <c r="A8" s="11" t="inlineStr">
        <is>
          <t>75/150</t>
        </is>
      </c>
      <c r="B8" s="11">
        <f>'Sizing Comparison'!K8</f>
        <v/>
      </c>
      <c r="C8" s="11">
        <f>'Sizing Comparison'!H8</f>
        <v/>
      </c>
      <c r="D8" s="11">
        <f>'Sizing Comparison'!I8</f>
        <v/>
      </c>
      <c r="E8" s="11">
        <f>-B8</f>
        <v/>
      </c>
      <c r="F8" s="11">
        <f>C8*(1+Assumptions!$B$7)^0*(1-Assumptions!$B$14*0)-D8*Assumptions!$B$23*(1+Assumptions!$B$24)^0</f>
        <v/>
      </c>
      <c r="G8" s="11">
        <f>C8*(1+Assumptions!$B$7)^1*(1-Assumptions!$B$14*1)-D8*Assumptions!$B$23*(1+Assumptions!$B$24)^1</f>
        <v/>
      </c>
      <c r="H8" s="11">
        <f>C8*(1+Assumptions!$B$7)^2*(1-Assumptions!$B$14*2)-D8*Assumptions!$B$23*(1+Assumptions!$B$24)^2</f>
        <v/>
      </c>
      <c r="I8" s="11">
        <f>C8*(1+Assumptions!$B$7)^3*(1-Assumptions!$B$14*3)-D8*Assumptions!$B$23*(1+Assumptions!$B$24)^3</f>
        <v/>
      </c>
      <c r="J8" s="11">
        <f>C8*(1+Assumptions!$B$7)^4*(1-Assumptions!$B$14*4)-D8*Assumptions!$B$23*(1+Assumptions!$B$24)^4</f>
        <v/>
      </c>
      <c r="K8" s="11">
        <f>C8*(1+Assumptions!$B$7)^5*(1-Assumptions!$B$14*5)-D8*Assumptions!$B$23*(1+Assumptions!$B$24)^5</f>
        <v/>
      </c>
      <c r="L8" s="11">
        <f>C8*(1+Assumptions!$B$7)^6*(1-Assumptions!$B$14*6)-D8*Assumptions!$B$23*(1+Assumptions!$B$24)^6</f>
        <v/>
      </c>
      <c r="M8" s="11">
        <f>C8*(1+Assumptions!$B$7)^7*(1-Assumptions!$B$14*7)-D8*Assumptions!$B$23*(1+Assumptions!$B$24)^7</f>
        <v/>
      </c>
      <c r="N8" s="11">
        <f>C8*(1+Assumptions!$B$7)^8*(1-Assumptions!$B$14*8)-D8*Assumptions!$B$23*(1+Assumptions!$B$24)^8</f>
        <v/>
      </c>
      <c r="O8" s="11">
        <f>C8*(1+Assumptions!$B$7)^9*(1-Assumptions!$B$14*9)-D8*Assumptions!$B$23*(1+Assumptions!$B$24)^9</f>
        <v/>
      </c>
      <c r="P8" s="11">
        <f>C8*(1+Assumptions!$B$7)^10*(1-Assumptions!$B$14*10)-D8*Assumptions!$B$23*(1+Assumptions!$B$24)^10</f>
        <v/>
      </c>
      <c r="Q8" s="11">
        <f>C8*(1+Assumptions!$B$7)^11*(1-Assumptions!$B$14*11)-D8*Assumptions!$B$23*(1+Assumptions!$B$24)^11</f>
        <v/>
      </c>
      <c r="R8" s="11">
        <f>C8*(1+Assumptions!$B$7)^12*(1-Assumptions!$B$14*12)-D8*Assumptions!$B$23*(1+Assumptions!$B$24)^12</f>
        <v/>
      </c>
      <c r="S8" s="11">
        <f>C8*(1+Assumptions!$B$7)^13*(1-Assumptions!$B$14*13)-D8*Assumptions!$B$23*(1+Assumptions!$B$24)^13</f>
        <v/>
      </c>
      <c r="T8" s="11">
        <f>C8*(1+Assumptions!$B$7)^14*(1-Assumptions!$B$14*14)-D8*Assumptions!$B$23*(1+Assumptions!$B$24)^14</f>
        <v/>
      </c>
      <c r="U8" s="11">
        <f>NPV(Assumptions!$B$25,F8:T8)+E8</f>
        <v/>
      </c>
      <c r="V8" s="11">
        <f>IFERROR(IRR(E8:T8),"-")</f>
        <v/>
      </c>
    </row>
    <row r="9">
      <c r="A9" s="11" t="inlineStr">
        <is>
          <t>100/200</t>
        </is>
      </c>
      <c r="B9" s="11">
        <f>'Sizing Comparison'!K9</f>
        <v/>
      </c>
      <c r="C9" s="11">
        <f>'Sizing Comparison'!H9</f>
        <v/>
      </c>
      <c r="D9" s="11">
        <f>'Sizing Comparison'!I9</f>
        <v/>
      </c>
      <c r="E9" s="11">
        <f>-B9</f>
        <v/>
      </c>
      <c r="F9" s="11">
        <f>C9*(1+Assumptions!$B$7)^0*(1-Assumptions!$B$14*0)-D9*Assumptions!$B$23*(1+Assumptions!$B$24)^0</f>
        <v/>
      </c>
      <c r="G9" s="11">
        <f>C9*(1+Assumptions!$B$7)^1*(1-Assumptions!$B$14*1)-D9*Assumptions!$B$23*(1+Assumptions!$B$24)^1</f>
        <v/>
      </c>
      <c r="H9" s="11">
        <f>C9*(1+Assumptions!$B$7)^2*(1-Assumptions!$B$14*2)-D9*Assumptions!$B$23*(1+Assumptions!$B$24)^2</f>
        <v/>
      </c>
      <c r="I9" s="11">
        <f>C9*(1+Assumptions!$B$7)^3*(1-Assumptions!$B$14*3)-D9*Assumptions!$B$23*(1+Assumptions!$B$24)^3</f>
        <v/>
      </c>
      <c r="J9" s="11">
        <f>C9*(1+Assumptions!$B$7)^4*(1-Assumptions!$B$14*4)-D9*Assumptions!$B$23*(1+Assumptions!$B$24)^4</f>
        <v/>
      </c>
      <c r="K9" s="11">
        <f>C9*(1+Assumptions!$B$7)^5*(1-Assumptions!$B$14*5)-D9*Assumptions!$B$23*(1+Assumptions!$B$24)^5</f>
        <v/>
      </c>
      <c r="L9" s="11">
        <f>C9*(1+Assumptions!$B$7)^6*(1-Assumptions!$B$14*6)-D9*Assumptions!$B$23*(1+Assumptions!$B$24)^6</f>
        <v/>
      </c>
      <c r="M9" s="11">
        <f>C9*(1+Assumptions!$B$7)^7*(1-Assumptions!$B$14*7)-D9*Assumptions!$B$23*(1+Assumptions!$B$24)^7</f>
        <v/>
      </c>
      <c r="N9" s="11">
        <f>C9*(1+Assumptions!$B$7)^8*(1-Assumptions!$B$14*8)-D9*Assumptions!$B$23*(1+Assumptions!$B$24)^8</f>
        <v/>
      </c>
      <c r="O9" s="11">
        <f>C9*(1+Assumptions!$B$7)^9*(1-Assumptions!$B$14*9)-D9*Assumptions!$B$23*(1+Assumptions!$B$24)^9</f>
        <v/>
      </c>
      <c r="P9" s="11">
        <f>C9*(1+Assumptions!$B$7)^10*(1-Assumptions!$B$14*10)-D9*Assumptions!$B$23*(1+Assumptions!$B$24)^10</f>
        <v/>
      </c>
      <c r="Q9" s="11">
        <f>C9*(1+Assumptions!$B$7)^11*(1-Assumptions!$B$14*11)-D9*Assumptions!$B$23*(1+Assumptions!$B$24)^11</f>
        <v/>
      </c>
      <c r="R9" s="11">
        <f>C9*(1+Assumptions!$B$7)^12*(1-Assumptions!$B$14*12)-D9*Assumptions!$B$23*(1+Assumptions!$B$24)^12</f>
        <v/>
      </c>
      <c r="S9" s="11">
        <f>C9*(1+Assumptions!$B$7)^13*(1-Assumptions!$B$14*13)-D9*Assumptions!$B$23*(1+Assumptions!$B$24)^13</f>
        <v/>
      </c>
      <c r="T9" s="11">
        <f>C9*(1+Assumptions!$B$7)^14*(1-Assumptions!$B$14*14)-D9*Assumptions!$B$23*(1+Assumptions!$B$24)^14</f>
        <v/>
      </c>
      <c r="U9" s="11">
        <f>NPV(Assumptions!$B$25,F9:T9)+E9</f>
        <v/>
      </c>
      <c r="V9" s="11">
        <f>IFERROR(IRR(E9:T9),"-")</f>
        <v/>
      </c>
    </row>
    <row r="10">
      <c r="A10" s="11" t="inlineStr">
        <is>
          <t>100/300</t>
        </is>
      </c>
      <c r="B10" s="11">
        <f>'Sizing Comparison'!K10</f>
        <v/>
      </c>
      <c r="C10" s="11">
        <f>'Sizing Comparison'!H10</f>
        <v/>
      </c>
      <c r="D10" s="11">
        <f>'Sizing Comparison'!I10</f>
        <v/>
      </c>
      <c r="E10" s="11">
        <f>-B10</f>
        <v/>
      </c>
      <c r="F10" s="11">
        <f>C10*(1+Assumptions!$B$7)^0*(1-Assumptions!$B$14*0)-D10*Assumptions!$B$23*(1+Assumptions!$B$24)^0</f>
        <v/>
      </c>
      <c r="G10" s="11">
        <f>C10*(1+Assumptions!$B$7)^1*(1-Assumptions!$B$14*1)-D10*Assumptions!$B$23*(1+Assumptions!$B$24)^1</f>
        <v/>
      </c>
      <c r="H10" s="11">
        <f>C10*(1+Assumptions!$B$7)^2*(1-Assumptions!$B$14*2)-D10*Assumptions!$B$23*(1+Assumptions!$B$24)^2</f>
        <v/>
      </c>
      <c r="I10" s="11">
        <f>C10*(1+Assumptions!$B$7)^3*(1-Assumptions!$B$14*3)-D10*Assumptions!$B$23*(1+Assumptions!$B$24)^3</f>
        <v/>
      </c>
      <c r="J10" s="11">
        <f>C10*(1+Assumptions!$B$7)^4*(1-Assumptions!$B$14*4)-D10*Assumptions!$B$23*(1+Assumptions!$B$24)^4</f>
        <v/>
      </c>
      <c r="K10" s="11">
        <f>C10*(1+Assumptions!$B$7)^5*(1-Assumptions!$B$14*5)-D10*Assumptions!$B$23*(1+Assumptions!$B$24)^5</f>
        <v/>
      </c>
      <c r="L10" s="11">
        <f>C10*(1+Assumptions!$B$7)^6*(1-Assumptions!$B$14*6)-D10*Assumptions!$B$23*(1+Assumptions!$B$24)^6</f>
        <v/>
      </c>
      <c r="M10" s="11">
        <f>C10*(1+Assumptions!$B$7)^7*(1-Assumptions!$B$14*7)-D10*Assumptions!$B$23*(1+Assumptions!$B$24)^7</f>
        <v/>
      </c>
      <c r="N10" s="11">
        <f>C10*(1+Assumptions!$B$7)^8*(1-Assumptions!$B$14*8)-D10*Assumptions!$B$23*(1+Assumptions!$B$24)^8</f>
        <v/>
      </c>
      <c r="O10" s="11">
        <f>C10*(1+Assumptions!$B$7)^9*(1-Assumptions!$B$14*9)-D10*Assumptions!$B$23*(1+Assumptions!$B$24)^9</f>
        <v/>
      </c>
      <c r="P10" s="11">
        <f>C10*(1+Assumptions!$B$7)^10*(1-Assumptions!$B$14*10)-D10*Assumptions!$B$23*(1+Assumptions!$B$24)^10</f>
        <v/>
      </c>
      <c r="Q10" s="11">
        <f>C10*(1+Assumptions!$B$7)^11*(1-Assumptions!$B$14*11)-D10*Assumptions!$B$23*(1+Assumptions!$B$24)^11</f>
        <v/>
      </c>
      <c r="R10" s="11">
        <f>C10*(1+Assumptions!$B$7)^12*(1-Assumptions!$B$14*12)-D10*Assumptions!$B$23*(1+Assumptions!$B$24)^12</f>
        <v/>
      </c>
      <c r="S10" s="11">
        <f>C10*(1+Assumptions!$B$7)^13*(1-Assumptions!$B$14*13)-D10*Assumptions!$B$23*(1+Assumptions!$B$24)^13</f>
        <v/>
      </c>
      <c r="T10" s="11">
        <f>C10*(1+Assumptions!$B$7)^14*(1-Assumptions!$B$14*14)-D10*Assumptions!$B$23*(1+Assumptions!$B$24)^14</f>
        <v/>
      </c>
      <c r="U10" s="11">
        <f>NPV(Assumptions!$B$25,F10:T10)+E10</f>
        <v/>
      </c>
      <c r="V10" s="11">
        <f>IFERROR(IRR(E10:T10),"-")</f>
        <v/>
      </c>
    </row>
    <row r="11">
      <c r="A11" s="11" t="inlineStr">
        <is>
          <t>100/400</t>
        </is>
      </c>
      <c r="B11" s="11">
        <f>'Sizing Comparison'!K11</f>
        <v/>
      </c>
      <c r="C11" s="11">
        <f>'Sizing Comparison'!H11</f>
        <v/>
      </c>
      <c r="D11" s="11">
        <f>'Sizing Comparison'!I11</f>
        <v/>
      </c>
      <c r="E11" s="11">
        <f>-B11</f>
        <v/>
      </c>
      <c r="F11" s="11">
        <f>C11*(1+Assumptions!$B$7)^0*(1-Assumptions!$B$14*0)-D11*Assumptions!$B$23*(1+Assumptions!$B$24)^0</f>
        <v/>
      </c>
      <c r="G11" s="11">
        <f>C11*(1+Assumptions!$B$7)^1*(1-Assumptions!$B$14*1)-D11*Assumptions!$B$23*(1+Assumptions!$B$24)^1</f>
        <v/>
      </c>
      <c r="H11" s="11">
        <f>C11*(1+Assumptions!$B$7)^2*(1-Assumptions!$B$14*2)-D11*Assumptions!$B$23*(1+Assumptions!$B$24)^2</f>
        <v/>
      </c>
      <c r="I11" s="11">
        <f>C11*(1+Assumptions!$B$7)^3*(1-Assumptions!$B$14*3)-D11*Assumptions!$B$23*(1+Assumptions!$B$24)^3</f>
        <v/>
      </c>
      <c r="J11" s="11">
        <f>C11*(1+Assumptions!$B$7)^4*(1-Assumptions!$B$14*4)-D11*Assumptions!$B$23*(1+Assumptions!$B$24)^4</f>
        <v/>
      </c>
      <c r="K11" s="11">
        <f>C11*(1+Assumptions!$B$7)^5*(1-Assumptions!$B$14*5)-D11*Assumptions!$B$23*(1+Assumptions!$B$24)^5</f>
        <v/>
      </c>
      <c r="L11" s="11">
        <f>C11*(1+Assumptions!$B$7)^6*(1-Assumptions!$B$14*6)-D11*Assumptions!$B$23*(1+Assumptions!$B$24)^6</f>
        <v/>
      </c>
      <c r="M11" s="11">
        <f>C11*(1+Assumptions!$B$7)^7*(1-Assumptions!$B$14*7)-D11*Assumptions!$B$23*(1+Assumptions!$B$24)^7</f>
        <v/>
      </c>
      <c r="N11" s="11">
        <f>C11*(1+Assumptions!$B$7)^8*(1-Assumptions!$B$14*8)-D11*Assumptions!$B$23*(1+Assumptions!$B$24)^8</f>
        <v/>
      </c>
      <c r="O11" s="11">
        <f>C11*(1+Assumptions!$B$7)^9*(1-Assumptions!$B$14*9)-D11*Assumptions!$B$23*(1+Assumptions!$B$24)^9</f>
        <v/>
      </c>
      <c r="P11" s="11">
        <f>C11*(1+Assumptions!$B$7)^10*(1-Assumptions!$B$14*10)-D11*Assumptions!$B$23*(1+Assumptions!$B$24)^10</f>
        <v/>
      </c>
      <c r="Q11" s="11">
        <f>C11*(1+Assumptions!$B$7)^11*(1-Assumptions!$B$14*11)-D11*Assumptions!$B$23*(1+Assumptions!$B$24)^11</f>
        <v/>
      </c>
      <c r="R11" s="11">
        <f>C11*(1+Assumptions!$B$7)^12*(1-Assumptions!$B$14*12)-D11*Assumptions!$B$23*(1+Assumptions!$B$24)^12</f>
        <v/>
      </c>
      <c r="S11" s="11">
        <f>C11*(1+Assumptions!$B$7)^13*(1-Assumptions!$B$14*13)-D11*Assumptions!$B$23*(1+Assumptions!$B$24)^13</f>
        <v/>
      </c>
      <c r="T11" s="11">
        <f>C11*(1+Assumptions!$B$7)^14*(1-Assumptions!$B$14*14)-D11*Assumptions!$B$23*(1+Assumptions!$B$24)^14</f>
        <v/>
      </c>
      <c r="U11" s="11">
        <f>NPV(Assumptions!$B$25,F11:T11)+E11</f>
        <v/>
      </c>
      <c r="V11" s="11">
        <f>IFERROR(IRR(E11:T11),"-")</f>
        <v/>
      </c>
    </row>
    <row r="12">
      <c r="A12" s="11" t="inlineStr">
        <is>
          <t>150/300</t>
        </is>
      </c>
      <c r="B12" s="11">
        <f>'Sizing Comparison'!K12</f>
        <v/>
      </c>
      <c r="C12" s="11">
        <f>'Sizing Comparison'!H12</f>
        <v/>
      </c>
      <c r="D12" s="11">
        <f>'Sizing Comparison'!I12</f>
        <v/>
      </c>
      <c r="E12" s="11">
        <f>-B12</f>
        <v/>
      </c>
      <c r="F12" s="11">
        <f>C12*(1+Assumptions!$B$7)^0*(1-Assumptions!$B$14*0)-D12*Assumptions!$B$23*(1+Assumptions!$B$24)^0</f>
        <v/>
      </c>
      <c r="G12" s="11">
        <f>C12*(1+Assumptions!$B$7)^1*(1-Assumptions!$B$14*1)-D12*Assumptions!$B$23*(1+Assumptions!$B$24)^1</f>
        <v/>
      </c>
      <c r="H12" s="11">
        <f>C12*(1+Assumptions!$B$7)^2*(1-Assumptions!$B$14*2)-D12*Assumptions!$B$23*(1+Assumptions!$B$24)^2</f>
        <v/>
      </c>
      <c r="I12" s="11">
        <f>C12*(1+Assumptions!$B$7)^3*(1-Assumptions!$B$14*3)-D12*Assumptions!$B$23*(1+Assumptions!$B$24)^3</f>
        <v/>
      </c>
      <c r="J12" s="11">
        <f>C12*(1+Assumptions!$B$7)^4*(1-Assumptions!$B$14*4)-D12*Assumptions!$B$23*(1+Assumptions!$B$24)^4</f>
        <v/>
      </c>
      <c r="K12" s="11">
        <f>C12*(1+Assumptions!$B$7)^5*(1-Assumptions!$B$14*5)-D12*Assumptions!$B$23*(1+Assumptions!$B$24)^5</f>
        <v/>
      </c>
      <c r="L12" s="11">
        <f>C12*(1+Assumptions!$B$7)^6*(1-Assumptions!$B$14*6)-D12*Assumptions!$B$23*(1+Assumptions!$B$24)^6</f>
        <v/>
      </c>
      <c r="M12" s="11">
        <f>C12*(1+Assumptions!$B$7)^7*(1-Assumptions!$B$14*7)-D12*Assumptions!$B$23*(1+Assumptions!$B$24)^7</f>
        <v/>
      </c>
      <c r="N12" s="11">
        <f>C12*(1+Assumptions!$B$7)^8*(1-Assumptions!$B$14*8)-D12*Assumptions!$B$23*(1+Assumptions!$B$24)^8</f>
        <v/>
      </c>
      <c r="O12" s="11">
        <f>C12*(1+Assumptions!$B$7)^9*(1-Assumptions!$B$14*9)-D12*Assumptions!$B$23*(1+Assumptions!$B$24)^9</f>
        <v/>
      </c>
      <c r="P12" s="11">
        <f>C12*(1+Assumptions!$B$7)^10*(1-Assumptions!$B$14*10)-D12*Assumptions!$B$23*(1+Assumptions!$B$24)^10</f>
        <v/>
      </c>
      <c r="Q12" s="11">
        <f>C12*(1+Assumptions!$B$7)^11*(1-Assumptions!$B$14*11)-D12*Assumptions!$B$23*(1+Assumptions!$B$24)^11</f>
        <v/>
      </c>
      <c r="R12" s="11">
        <f>C12*(1+Assumptions!$B$7)^12*(1-Assumptions!$B$14*12)-D12*Assumptions!$B$23*(1+Assumptions!$B$24)^12</f>
        <v/>
      </c>
      <c r="S12" s="11">
        <f>C12*(1+Assumptions!$B$7)^13*(1-Assumptions!$B$14*13)-D12*Assumptions!$B$23*(1+Assumptions!$B$24)^13</f>
        <v/>
      </c>
      <c r="T12" s="11">
        <f>C12*(1+Assumptions!$B$7)^14*(1-Assumptions!$B$14*14)-D12*Assumptions!$B$23*(1+Assumptions!$B$24)^14</f>
        <v/>
      </c>
      <c r="U12" s="11">
        <f>NPV(Assumptions!$B$25,F12:T12)+E12</f>
        <v/>
      </c>
      <c r="V12" s="11">
        <f>IFERROR(IRR(E12:T12),"-")</f>
        <v/>
      </c>
    </row>
    <row r="13">
      <c r="A13" s="11" t="inlineStr">
        <is>
          <t>200/400</t>
        </is>
      </c>
      <c r="B13" s="11">
        <f>'Sizing Comparison'!K13</f>
        <v/>
      </c>
      <c r="C13" s="11">
        <f>'Sizing Comparison'!H13</f>
        <v/>
      </c>
      <c r="D13" s="11">
        <f>'Sizing Comparison'!I13</f>
        <v/>
      </c>
      <c r="E13" s="11">
        <f>-B13</f>
        <v/>
      </c>
      <c r="F13" s="11">
        <f>C13*(1+Assumptions!$B$7)^0*(1-Assumptions!$B$14*0)-D13*Assumptions!$B$23*(1+Assumptions!$B$24)^0</f>
        <v/>
      </c>
      <c r="G13" s="11">
        <f>C13*(1+Assumptions!$B$7)^1*(1-Assumptions!$B$14*1)-D13*Assumptions!$B$23*(1+Assumptions!$B$24)^1</f>
        <v/>
      </c>
      <c r="H13" s="11">
        <f>C13*(1+Assumptions!$B$7)^2*(1-Assumptions!$B$14*2)-D13*Assumptions!$B$23*(1+Assumptions!$B$24)^2</f>
        <v/>
      </c>
      <c r="I13" s="11">
        <f>C13*(1+Assumptions!$B$7)^3*(1-Assumptions!$B$14*3)-D13*Assumptions!$B$23*(1+Assumptions!$B$24)^3</f>
        <v/>
      </c>
      <c r="J13" s="11">
        <f>C13*(1+Assumptions!$B$7)^4*(1-Assumptions!$B$14*4)-D13*Assumptions!$B$23*(1+Assumptions!$B$24)^4</f>
        <v/>
      </c>
      <c r="K13" s="11">
        <f>C13*(1+Assumptions!$B$7)^5*(1-Assumptions!$B$14*5)-D13*Assumptions!$B$23*(1+Assumptions!$B$24)^5</f>
        <v/>
      </c>
      <c r="L13" s="11">
        <f>C13*(1+Assumptions!$B$7)^6*(1-Assumptions!$B$14*6)-D13*Assumptions!$B$23*(1+Assumptions!$B$24)^6</f>
        <v/>
      </c>
      <c r="M13" s="11">
        <f>C13*(1+Assumptions!$B$7)^7*(1-Assumptions!$B$14*7)-D13*Assumptions!$B$23*(1+Assumptions!$B$24)^7</f>
        <v/>
      </c>
      <c r="N13" s="11">
        <f>C13*(1+Assumptions!$B$7)^8*(1-Assumptions!$B$14*8)-D13*Assumptions!$B$23*(1+Assumptions!$B$24)^8</f>
        <v/>
      </c>
      <c r="O13" s="11">
        <f>C13*(1+Assumptions!$B$7)^9*(1-Assumptions!$B$14*9)-D13*Assumptions!$B$23*(1+Assumptions!$B$24)^9</f>
        <v/>
      </c>
      <c r="P13" s="11">
        <f>C13*(1+Assumptions!$B$7)^10*(1-Assumptions!$B$14*10)-D13*Assumptions!$B$23*(1+Assumptions!$B$24)^10</f>
        <v/>
      </c>
      <c r="Q13" s="11">
        <f>C13*(1+Assumptions!$B$7)^11*(1-Assumptions!$B$14*11)-D13*Assumptions!$B$23*(1+Assumptions!$B$24)^11</f>
        <v/>
      </c>
      <c r="R13" s="11">
        <f>C13*(1+Assumptions!$B$7)^12*(1-Assumptions!$B$14*12)-D13*Assumptions!$B$23*(1+Assumptions!$B$24)^12</f>
        <v/>
      </c>
      <c r="S13" s="11">
        <f>C13*(1+Assumptions!$B$7)^13*(1-Assumptions!$B$14*13)-D13*Assumptions!$B$23*(1+Assumptions!$B$24)^13</f>
        <v/>
      </c>
      <c r="T13" s="11">
        <f>C13*(1+Assumptions!$B$7)^14*(1-Assumptions!$B$14*14)-D13*Assumptions!$B$23*(1+Assumptions!$B$24)^14</f>
        <v/>
      </c>
      <c r="U13" s="11">
        <f>NPV(Assumptions!$B$25,F13:T13)+E13</f>
        <v/>
      </c>
      <c r="V13" s="11">
        <f>IFERROR(IRR(E13:T13),"-")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Load Analysis — Calendar 2025 (representative year)</t>
        </is>
      </c>
    </row>
    <row r="3">
      <c r="A3" s="23" t="inlineStr">
        <is>
          <t>Annual energy</t>
        </is>
      </c>
      <c r="B3" s="29" t="n">
        <v>224726</v>
      </c>
    </row>
    <row r="4">
      <c r="A4" s="23" t="inlineStr">
        <is>
          <t>Peak demand</t>
        </is>
      </c>
      <c r="B4" s="30" t="n">
        <v>114.9</v>
      </c>
    </row>
    <row r="5">
      <c r="A5" s="23" t="inlineStr">
        <is>
          <t>Average load</t>
        </is>
      </c>
      <c r="B5" s="30" t="n">
        <v>25.7</v>
      </c>
    </row>
    <row r="6">
      <c r="A6" s="23" t="inlineStr">
        <is>
          <t>Load factor</t>
        </is>
      </c>
      <c r="B6" s="31">
        <f>B5/B4</f>
        <v/>
      </c>
    </row>
    <row r="9">
      <c r="A9" s="10" t="inlineStr">
        <is>
          <t>Month</t>
        </is>
      </c>
      <c r="B9" s="10" t="inlineStr">
        <is>
          <t>Energy (kWh)</t>
        </is>
      </c>
      <c r="C9" s="10" t="inlineStr">
        <is>
          <t>Peak (kW)</t>
        </is>
      </c>
      <c r="D9" s="10" t="inlineStr">
        <is>
          <t>Demand chg $</t>
        </is>
      </c>
      <c r="E9" s="10" t="inlineStr">
        <is>
          <t>Energy chg $</t>
        </is>
      </c>
      <c r="F9" s="10" t="inlineStr">
        <is>
          <t>Total $</t>
        </is>
      </c>
    </row>
    <row r="10">
      <c r="A10" s="11" t="inlineStr">
        <is>
          <t>Jan</t>
        </is>
      </c>
      <c r="B10" s="11" t="n">
        <v>35978</v>
      </c>
      <c r="C10" s="11" t="n">
        <v>80.90000000000001</v>
      </c>
      <c r="D10" s="13">
        <f>C10*Assumptions!$B$5</f>
        <v/>
      </c>
      <c r="E10" s="13">
        <f>B10*Assumptions!$B$4</f>
        <v/>
      </c>
      <c r="F10" s="13">
        <f>D10+E10</f>
        <v/>
      </c>
    </row>
    <row r="11">
      <c r="A11" s="11" t="inlineStr">
        <is>
          <t>Feb</t>
        </is>
      </c>
      <c r="B11" s="11" t="n">
        <v>34421</v>
      </c>
      <c r="C11" s="11" t="n">
        <v>90.59999999999999</v>
      </c>
      <c r="D11" s="13">
        <f>C11*Assumptions!$B$5</f>
        <v/>
      </c>
      <c r="E11" s="13">
        <f>B11*Assumptions!$B$4</f>
        <v/>
      </c>
      <c r="F11" s="13">
        <f>D11+E11</f>
        <v/>
      </c>
    </row>
    <row r="12">
      <c r="A12" s="11" t="inlineStr">
        <is>
          <t>Mar</t>
        </is>
      </c>
      <c r="B12" s="11" t="n">
        <v>43051</v>
      </c>
      <c r="C12" s="11" t="n">
        <v>112.4</v>
      </c>
      <c r="D12" s="13">
        <f>C12*Assumptions!$B$5</f>
        <v/>
      </c>
      <c r="E12" s="13">
        <f>B12*Assumptions!$B$4</f>
        <v/>
      </c>
      <c r="F12" s="13">
        <f>D12+E12</f>
        <v/>
      </c>
    </row>
    <row r="13">
      <c r="A13" s="11" t="inlineStr">
        <is>
          <t>Apr</t>
        </is>
      </c>
      <c r="B13" s="11" t="n">
        <v>28133</v>
      </c>
      <c r="C13" s="11" t="n">
        <v>81.2</v>
      </c>
      <c r="D13" s="13">
        <f>C13*Assumptions!$B$5</f>
        <v/>
      </c>
      <c r="E13" s="13">
        <f>B13*Assumptions!$B$4</f>
        <v/>
      </c>
      <c r="F13" s="13">
        <f>D13+E13</f>
        <v/>
      </c>
    </row>
    <row r="14">
      <c r="A14" s="11" t="inlineStr">
        <is>
          <t>May</t>
        </is>
      </c>
      <c r="B14" s="11" t="n">
        <v>6245</v>
      </c>
      <c r="C14" s="11" t="n">
        <v>29.5</v>
      </c>
      <c r="D14" s="13">
        <f>C14*Assumptions!$B$5</f>
        <v/>
      </c>
      <c r="E14" s="13">
        <f>B14*Assumptions!$B$4</f>
        <v/>
      </c>
      <c r="F14" s="13">
        <f>D14+E14</f>
        <v/>
      </c>
    </row>
    <row r="15">
      <c r="A15" s="11" t="inlineStr">
        <is>
          <t>Jun</t>
        </is>
      </c>
      <c r="B15" s="11" t="n">
        <v>4765</v>
      </c>
      <c r="C15" s="11" t="n">
        <v>26.5</v>
      </c>
      <c r="D15" s="13">
        <f>C15*Assumptions!$B$5</f>
        <v/>
      </c>
      <c r="E15" s="13">
        <f>B15*Assumptions!$B$4</f>
        <v/>
      </c>
      <c r="F15" s="13">
        <f>D15+E15</f>
        <v/>
      </c>
    </row>
    <row r="16">
      <c r="A16" s="11" t="inlineStr">
        <is>
          <t>Jul</t>
        </is>
      </c>
      <c r="B16" s="11" t="n">
        <v>4316</v>
      </c>
      <c r="C16" s="11" t="n">
        <v>21.3</v>
      </c>
      <c r="D16" s="13">
        <f>C16*Assumptions!$B$5</f>
        <v/>
      </c>
      <c r="E16" s="13">
        <f>B16*Assumptions!$B$4</f>
        <v/>
      </c>
      <c r="F16" s="13">
        <f>D16+E16</f>
        <v/>
      </c>
    </row>
    <row r="17">
      <c r="A17" s="11" t="inlineStr">
        <is>
          <t>Aug</t>
        </is>
      </c>
      <c r="B17" s="11" t="n">
        <v>3468</v>
      </c>
      <c r="C17" s="11" t="n">
        <v>24</v>
      </c>
      <c r="D17" s="13">
        <f>C17*Assumptions!$B$5</f>
        <v/>
      </c>
      <c r="E17" s="13">
        <f>B17*Assumptions!$B$4</f>
        <v/>
      </c>
      <c r="F17" s="13">
        <f>D17+E17</f>
        <v/>
      </c>
    </row>
    <row r="18">
      <c r="A18" s="11" t="inlineStr">
        <is>
          <t>Sep</t>
        </is>
      </c>
      <c r="B18" s="11" t="n">
        <v>2927</v>
      </c>
      <c r="C18" s="11" t="n">
        <v>16.9</v>
      </c>
      <c r="D18" s="13">
        <f>C18*Assumptions!$B$5</f>
        <v/>
      </c>
      <c r="E18" s="13">
        <f>B18*Assumptions!$B$4</f>
        <v/>
      </c>
      <c r="F18" s="13">
        <f>D18+E18</f>
        <v/>
      </c>
    </row>
    <row r="19">
      <c r="A19" s="11" t="inlineStr">
        <is>
          <t>Oct</t>
        </is>
      </c>
      <c r="B19" s="11" t="n">
        <v>2606</v>
      </c>
      <c r="C19" s="11" t="n">
        <v>18.4</v>
      </c>
      <c r="D19" s="13">
        <f>C19*Assumptions!$B$5</f>
        <v/>
      </c>
      <c r="E19" s="13">
        <f>B19*Assumptions!$B$4</f>
        <v/>
      </c>
      <c r="F19" s="13">
        <f>D19+E19</f>
        <v/>
      </c>
    </row>
    <row r="20">
      <c r="A20" s="11" t="inlineStr">
        <is>
          <t>Nov</t>
        </is>
      </c>
      <c r="B20" s="11" t="n">
        <v>34658</v>
      </c>
      <c r="C20" s="11" t="n">
        <v>114.9</v>
      </c>
      <c r="D20" s="13">
        <f>C20*Assumptions!$B$5</f>
        <v/>
      </c>
      <c r="E20" s="13">
        <f>B20*Assumptions!$B$4</f>
        <v/>
      </c>
      <c r="F20" s="13">
        <f>D20+E20</f>
        <v/>
      </c>
    </row>
    <row r="21">
      <c r="A21" s="11" t="inlineStr">
        <is>
          <t>Dec</t>
        </is>
      </c>
      <c r="B21" s="11" t="n">
        <v>24158</v>
      </c>
      <c r="C21" s="11" t="n">
        <v>70.90000000000001</v>
      </c>
      <c r="D21" s="13">
        <f>C21*Assumptions!$B$5</f>
        <v/>
      </c>
      <c r="E21" s="13">
        <f>B21*Assumptions!$B$4</f>
        <v/>
      </c>
      <c r="F21" s="13">
        <f>D21+E21</f>
        <v/>
      </c>
    </row>
    <row r="22">
      <c r="A22" s="32" t="inlineStr">
        <is>
          <t>TOTAL</t>
        </is>
      </c>
      <c r="B22" s="32">
        <f>SUM(B10:B21)</f>
        <v/>
      </c>
      <c r="C22" s="11" t="n"/>
      <c r="D22" s="33">
        <f>SUM(D10:D21)</f>
        <v/>
      </c>
      <c r="E22" s="33">
        <f>SUM(E10:E21)</f>
        <v/>
      </c>
      <c r="F22" s="33">
        <f>SUM(F10:F21)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Monthly Bill — Before vs After (50 kW / 150 kWh)</t>
        </is>
      </c>
    </row>
    <row r="3">
      <c r="A3" s="10" t="inlineStr">
        <is>
          <t>Month</t>
        </is>
      </c>
      <c r="B3" s="10" t="inlineStr">
        <is>
          <t>Peak before kW</t>
        </is>
      </c>
      <c r="C3" s="10" t="inlineStr">
        <is>
          <t>Peak after kW</t>
        </is>
      </c>
      <c r="D3" s="10" t="inlineStr">
        <is>
          <t>kW shaved</t>
        </is>
      </c>
      <c r="E3" s="10" t="inlineStr">
        <is>
          <t>Bill before $</t>
        </is>
      </c>
      <c r="F3" s="10" t="inlineStr">
        <is>
          <t>Bill after $</t>
        </is>
      </c>
      <c r="G3" s="10" t="inlineStr">
        <is>
          <t>Savings $</t>
        </is>
      </c>
    </row>
    <row r="4">
      <c r="A4" s="11" t="inlineStr">
        <is>
          <t>Jan</t>
        </is>
      </c>
      <c r="B4" s="11" t="n">
        <v>80.90000000000001</v>
      </c>
      <c r="C4" s="11" t="n">
        <v>54.7</v>
      </c>
      <c r="D4" s="11">
        <f>B4-C4</f>
        <v/>
      </c>
      <c r="E4" s="13">
        <f>B4*Assumptions!$B$5+35978*Assumptions!$B$4</f>
        <v/>
      </c>
      <c r="F4" s="13">
        <f>C4*Assumptions!$B$5+35978*Assumptions!$B$4</f>
        <v/>
      </c>
      <c r="G4" s="13">
        <f>E4-F4</f>
        <v/>
      </c>
    </row>
    <row r="5">
      <c r="A5" s="11" t="inlineStr">
        <is>
          <t>Feb</t>
        </is>
      </c>
      <c r="B5" s="11" t="n">
        <v>90.59999999999999</v>
      </c>
      <c r="C5" s="11" t="n">
        <v>58.5</v>
      </c>
      <c r="D5" s="11">
        <f>B5-C5</f>
        <v/>
      </c>
      <c r="E5" s="13">
        <f>B5*Assumptions!$B$5+34421*Assumptions!$B$4</f>
        <v/>
      </c>
      <c r="F5" s="13">
        <f>C5*Assumptions!$B$5+34421*Assumptions!$B$4</f>
        <v/>
      </c>
      <c r="G5" s="13">
        <f>E5-F5</f>
        <v/>
      </c>
    </row>
    <row r="6">
      <c r="A6" s="11" t="inlineStr">
        <is>
          <t>Mar</t>
        </is>
      </c>
      <c r="B6" s="11" t="n">
        <v>112.4</v>
      </c>
      <c r="C6" s="11" t="n">
        <v>93.59999999999999</v>
      </c>
      <c r="D6" s="11">
        <f>B6-C6</f>
        <v/>
      </c>
      <c r="E6" s="13">
        <f>B6*Assumptions!$B$5+43051*Assumptions!$B$4</f>
        <v/>
      </c>
      <c r="F6" s="13">
        <f>C6*Assumptions!$B$5+43051*Assumptions!$B$4</f>
        <v/>
      </c>
      <c r="G6" s="13">
        <f>E6-F6</f>
        <v/>
      </c>
    </row>
    <row r="7">
      <c r="A7" s="11" t="inlineStr">
        <is>
          <t>Apr</t>
        </is>
      </c>
      <c r="B7" s="11" t="n">
        <v>81.2</v>
      </c>
      <c r="C7" s="11" t="n">
        <v>64.90000000000001</v>
      </c>
      <c r="D7" s="11">
        <f>B7-C7</f>
        <v/>
      </c>
      <c r="E7" s="13">
        <f>B7*Assumptions!$B$5+28133*Assumptions!$B$4</f>
        <v/>
      </c>
      <c r="F7" s="13">
        <f>C7*Assumptions!$B$5+28133*Assumptions!$B$4</f>
        <v/>
      </c>
      <c r="G7" s="13">
        <f>E7-F7</f>
        <v/>
      </c>
    </row>
    <row r="8">
      <c r="A8" s="11" t="inlineStr">
        <is>
          <t>May</t>
        </is>
      </c>
      <c r="B8" s="11" t="n">
        <v>29.5</v>
      </c>
      <c r="C8" s="11" t="n">
        <v>9.9</v>
      </c>
      <c r="D8" s="11">
        <f>B8-C8</f>
        <v/>
      </c>
      <c r="E8" s="13">
        <f>B8*Assumptions!$B$5+6245*Assumptions!$B$4</f>
        <v/>
      </c>
      <c r="F8" s="13">
        <f>C8*Assumptions!$B$5+6245*Assumptions!$B$4</f>
        <v/>
      </c>
      <c r="G8" s="13">
        <f>E8-F8</f>
        <v/>
      </c>
    </row>
    <row r="9">
      <c r="A9" s="11" t="inlineStr">
        <is>
          <t>Jun</t>
        </is>
      </c>
      <c r="B9" s="11" t="n">
        <v>26.5</v>
      </c>
      <c r="C9" s="11" t="n">
        <v>11.4</v>
      </c>
      <c r="D9" s="11">
        <f>B9-C9</f>
        <v/>
      </c>
      <c r="E9" s="13">
        <f>B9*Assumptions!$B$5+4765*Assumptions!$B$4</f>
        <v/>
      </c>
      <c r="F9" s="13">
        <f>C9*Assumptions!$B$5+4765*Assumptions!$B$4</f>
        <v/>
      </c>
      <c r="G9" s="13">
        <f>E9-F9</f>
        <v/>
      </c>
    </row>
    <row r="10">
      <c r="A10" s="11" t="inlineStr">
        <is>
          <t>Jul</t>
        </is>
      </c>
      <c r="B10" s="11" t="n">
        <v>21.3</v>
      </c>
      <c r="C10" s="11" t="n">
        <v>6.3</v>
      </c>
      <c r="D10" s="11">
        <f>B10-C10</f>
        <v/>
      </c>
      <c r="E10" s="13">
        <f>B10*Assumptions!$B$5+4316*Assumptions!$B$4</f>
        <v/>
      </c>
      <c r="F10" s="13">
        <f>C10*Assumptions!$B$5+4316*Assumptions!$B$4</f>
        <v/>
      </c>
      <c r="G10" s="13">
        <f>E10-F10</f>
        <v/>
      </c>
    </row>
    <row r="11">
      <c r="A11" s="11" t="inlineStr">
        <is>
          <t>Aug</t>
        </is>
      </c>
      <c r="B11" s="11" t="n">
        <v>24</v>
      </c>
      <c r="C11" s="11" t="n">
        <v>5.6</v>
      </c>
      <c r="D11" s="11">
        <f>B11-C11</f>
        <v/>
      </c>
      <c r="E11" s="13">
        <f>B11*Assumptions!$B$5+3468*Assumptions!$B$4</f>
        <v/>
      </c>
      <c r="F11" s="13">
        <f>C11*Assumptions!$B$5+3468*Assumptions!$B$4</f>
        <v/>
      </c>
      <c r="G11" s="13">
        <f>E11-F11</f>
        <v/>
      </c>
    </row>
    <row r="12">
      <c r="A12" s="11" t="inlineStr">
        <is>
          <t>Sep</t>
        </is>
      </c>
      <c r="B12" s="11" t="n">
        <v>16.9</v>
      </c>
      <c r="C12" s="11" t="n">
        <v>5.3</v>
      </c>
      <c r="D12" s="11">
        <f>B12-C12</f>
        <v/>
      </c>
      <c r="E12" s="13">
        <f>B12*Assumptions!$B$5+2927*Assumptions!$B$4</f>
        <v/>
      </c>
      <c r="F12" s="13">
        <f>C12*Assumptions!$B$5+2927*Assumptions!$B$4</f>
        <v/>
      </c>
      <c r="G12" s="13">
        <f>E12-F12</f>
        <v/>
      </c>
    </row>
    <row r="13">
      <c r="A13" s="11" t="inlineStr">
        <is>
          <t>Oct</t>
        </is>
      </c>
      <c r="B13" s="11" t="n">
        <v>18.4</v>
      </c>
      <c r="C13" s="11" t="n">
        <v>5.8</v>
      </c>
      <c r="D13" s="11">
        <f>B13-C13</f>
        <v/>
      </c>
      <c r="E13" s="13">
        <f>B13*Assumptions!$B$5+2606*Assumptions!$B$4</f>
        <v/>
      </c>
      <c r="F13" s="13">
        <f>C13*Assumptions!$B$5+2606*Assumptions!$B$4</f>
        <v/>
      </c>
      <c r="G13" s="13">
        <f>E13-F13</f>
        <v/>
      </c>
    </row>
    <row r="14">
      <c r="A14" s="11" t="inlineStr">
        <is>
          <t>Nov</t>
        </is>
      </c>
      <c r="B14" s="11" t="n">
        <v>114.9</v>
      </c>
      <c r="C14" s="11" t="n">
        <v>90</v>
      </c>
      <c r="D14" s="11">
        <f>B14-C14</f>
        <v/>
      </c>
      <c r="E14" s="13">
        <f>B14*Assumptions!$B$5+34658*Assumptions!$B$4</f>
        <v/>
      </c>
      <c r="F14" s="13">
        <f>C14*Assumptions!$B$5+34658*Assumptions!$B$4</f>
        <v/>
      </c>
      <c r="G14" s="13">
        <f>E14-F14</f>
        <v/>
      </c>
    </row>
    <row r="15">
      <c r="A15" s="11" t="inlineStr">
        <is>
          <t>Dec</t>
        </is>
      </c>
      <c r="B15" s="11" t="n">
        <v>70.90000000000001</v>
      </c>
      <c r="C15" s="11" t="n">
        <v>42.9</v>
      </c>
      <c r="D15" s="11">
        <f>B15-C15</f>
        <v/>
      </c>
      <c r="E15" s="13">
        <f>B15*Assumptions!$B$5+24158*Assumptions!$B$4</f>
        <v/>
      </c>
      <c r="F15" s="13">
        <f>C15*Assumptions!$B$5+24158*Assumptions!$B$4</f>
        <v/>
      </c>
      <c r="G15" s="13">
        <f>E15-F15</f>
        <v/>
      </c>
    </row>
    <row r="16">
      <c r="A16" s="32" t="inlineStr">
        <is>
          <t>TOTAL</t>
        </is>
      </c>
      <c r="B16" s="11" t="n"/>
      <c r="C16" s="11" t="n"/>
      <c r="D16" s="11" t="n"/>
      <c r="E16" s="33">
        <f>SUM(E4:E15)</f>
        <v/>
      </c>
      <c r="F16" s="33">
        <f>SUM(F4:F15)</f>
        <v/>
      </c>
      <c r="G16" s="33">
        <f>SUM(G4:G15)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What the Battery Does — cold week Mar 2025 (100 kW/300 kWh, ceiling ~80.9 kW)</t>
        </is>
      </c>
    </row>
    <row r="3">
      <c r="A3" s="10" t="inlineStr">
        <is>
          <t>Hour</t>
        </is>
      </c>
      <c r="B3" s="10" t="inlineStr">
        <is>
          <t>Load kW</t>
        </is>
      </c>
      <c r="C3" s="10" t="inlineStr">
        <is>
          <t>Net grid kW</t>
        </is>
      </c>
      <c r="D3" s="10" t="inlineStr">
        <is>
          <t>SOC kWh</t>
        </is>
      </c>
    </row>
    <row r="4">
      <c r="A4" t="inlineStr">
        <is>
          <t>Mon 00:00</t>
        </is>
      </c>
      <c r="B4" t="n">
        <v>47.4</v>
      </c>
      <c r="C4" t="n">
        <v>47.4</v>
      </c>
      <c r="D4" t="n">
        <v>300</v>
      </c>
    </row>
    <row r="5">
      <c r="A5" t="inlineStr">
        <is>
          <t>Mon 01:00</t>
        </is>
      </c>
      <c r="B5" t="n">
        <v>48.1</v>
      </c>
      <c r="C5" t="n">
        <v>48.1</v>
      </c>
      <c r="D5" t="n">
        <v>300</v>
      </c>
    </row>
    <row r="6">
      <c r="A6" t="inlineStr">
        <is>
          <t>Mon 02:00</t>
        </is>
      </c>
      <c r="B6" t="n">
        <v>47.8</v>
      </c>
      <c r="C6" t="n">
        <v>47.8</v>
      </c>
      <c r="D6" t="n">
        <v>300</v>
      </c>
    </row>
    <row r="7">
      <c r="A7" t="inlineStr">
        <is>
          <t>Mon 03:00</t>
        </is>
      </c>
      <c r="B7" t="n">
        <v>47.8</v>
      </c>
      <c r="C7" t="n">
        <v>47.8</v>
      </c>
      <c r="D7" t="n">
        <v>300</v>
      </c>
    </row>
    <row r="8">
      <c r="A8" t="inlineStr">
        <is>
          <t>Mon 04:00</t>
        </is>
      </c>
      <c r="B8" t="n">
        <v>29.9</v>
      </c>
      <c r="C8" t="n">
        <v>29.9</v>
      </c>
      <c r="D8" t="n">
        <v>300</v>
      </c>
    </row>
    <row r="9">
      <c r="A9" t="inlineStr">
        <is>
          <t>Mon 05:00</t>
        </is>
      </c>
      <c r="B9" t="n">
        <v>29.2</v>
      </c>
      <c r="C9" t="n">
        <v>29.2</v>
      </c>
      <c r="D9" t="n">
        <v>300</v>
      </c>
    </row>
    <row r="10">
      <c r="A10" t="inlineStr">
        <is>
          <t>Mon 06:00</t>
        </is>
      </c>
      <c r="B10" t="n">
        <v>29.5</v>
      </c>
      <c r="C10" t="n">
        <v>29.5</v>
      </c>
      <c r="D10" t="n">
        <v>300</v>
      </c>
    </row>
    <row r="11">
      <c r="A11" t="inlineStr">
        <is>
          <t>Mon 07:00</t>
        </is>
      </c>
      <c r="B11" t="n">
        <v>36.9</v>
      </c>
      <c r="C11" t="n">
        <v>36.9</v>
      </c>
      <c r="D11" t="n">
        <v>300</v>
      </c>
    </row>
    <row r="12">
      <c r="A12" t="inlineStr">
        <is>
          <t>Mon 08:00</t>
        </is>
      </c>
      <c r="B12" t="n">
        <v>45.9</v>
      </c>
      <c r="C12" t="n">
        <v>45.9</v>
      </c>
      <c r="D12" t="n">
        <v>300</v>
      </c>
    </row>
    <row r="13">
      <c r="A13" t="inlineStr">
        <is>
          <t>Mon 09:00</t>
        </is>
      </c>
      <c r="B13" t="n">
        <v>46</v>
      </c>
      <c r="C13" t="n">
        <v>46</v>
      </c>
      <c r="D13" t="n">
        <v>300</v>
      </c>
    </row>
    <row r="14">
      <c r="A14" t="inlineStr">
        <is>
          <t>Mon 10:00</t>
        </is>
      </c>
      <c r="B14" t="n">
        <v>45.3</v>
      </c>
      <c r="C14" t="n">
        <v>45.3</v>
      </c>
      <c r="D14" t="n">
        <v>300</v>
      </c>
    </row>
    <row r="15">
      <c r="A15" t="inlineStr">
        <is>
          <t>Mon 11:00</t>
        </is>
      </c>
      <c r="B15" t="n">
        <v>48</v>
      </c>
      <c r="C15" t="n">
        <v>48</v>
      </c>
      <c r="D15" t="n">
        <v>300</v>
      </c>
    </row>
    <row r="16">
      <c r="A16" t="inlineStr">
        <is>
          <t>Mon 12:00</t>
        </is>
      </c>
      <c r="B16" t="n">
        <v>60.1</v>
      </c>
      <c r="C16" t="n">
        <v>60.1</v>
      </c>
      <c r="D16" t="n">
        <v>300</v>
      </c>
    </row>
    <row r="17">
      <c r="A17" t="inlineStr">
        <is>
          <t>Mon 13:00</t>
        </is>
      </c>
      <c r="B17" t="n">
        <v>64</v>
      </c>
      <c r="C17" t="n">
        <v>64</v>
      </c>
      <c r="D17" t="n">
        <v>300</v>
      </c>
    </row>
    <row r="18">
      <c r="A18" t="inlineStr">
        <is>
          <t>Mon 14:00</t>
        </is>
      </c>
      <c r="B18" t="n">
        <v>63.8</v>
      </c>
      <c r="C18" t="n">
        <v>63.8</v>
      </c>
      <c r="D18" t="n">
        <v>300</v>
      </c>
    </row>
    <row r="19">
      <c r="A19" t="inlineStr">
        <is>
          <t>Mon 15:00</t>
        </is>
      </c>
      <c r="B19" t="n">
        <v>63.6</v>
      </c>
      <c r="C19" t="n">
        <v>63.6</v>
      </c>
      <c r="D19" t="n">
        <v>300</v>
      </c>
    </row>
    <row r="20">
      <c r="A20" t="inlineStr">
        <is>
          <t>Mon 16:00</t>
        </is>
      </c>
      <c r="B20" t="n">
        <v>63.2</v>
      </c>
      <c r="C20" t="n">
        <v>63.2</v>
      </c>
      <c r="D20" t="n">
        <v>300</v>
      </c>
    </row>
    <row r="21">
      <c r="A21" t="inlineStr">
        <is>
          <t>Mon 17:00</t>
        </is>
      </c>
      <c r="B21" t="n">
        <v>62.5</v>
      </c>
      <c r="C21" t="n">
        <v>62.5</v>
      </c>
      <c r="D21" t="n">
        <v>300</v>
      </c>
    </row>
    <row r="22">
      <c r="A22" t="inlineStr">
        <is>
          <t>Mon 18:00</t>
        </is>
      </c>
      <c r="B22" t="n">
        <v>73.09999999999999</v>
      </c>
      <c r="C22" t="n">
        <v>73.09999999999999</v>
      </c>
      <c r="D22" t="n">
        <v>300</v>
      </c>
    </row>
    <row r="23">
      <c r="A23" t="inlineStr">
        <is>
          <t>Mon 19:00</t>
        </is>
      </c>
      <c r="B23" t="n">
        <v>73.3</v>
      </c>
      <c r="C23" t="n">
        <v>73.3</v>
      </c>
      <c r="D23" t="n">
        <v>300</v>
      </c>
    </row>
    <row r="24">
      <c r="A24" t="inlineStr">
        <is>
          <t>Mon 20:00</t>
        </is>
      </c>
      <c r="B24" t="n">
        <v>82.09999999999999</v>
      </c>
      <c r="C24" t="n">
        <v>80.90000000000001</v>
      </c>
      <c r="D24" t="n">
        <v>298.7</v>
      </c>
    </row>
    <row r="25">
      <c r="A25" t="inlineStr">
        <is>
          <t>Mon 21:00</t>
        </is>
      </c>
      <c r="B25" t="n">
        <v>81.40000000000001</v>
      </c>
      <c r="C25" t="n">
        <v>80.90000000000001</v>
      </c>
      <c r="D25" t="n">
        <v>298.2</v>
      </c>
    </row>
    <row r="26">
      <c r="A26" t="inlineStr">
        <is>
          <t>Mon 22:00</t>
        </is>
      </c>
      <c r="B26" t="n">
        <v>72.2</v>
      </c>
      <c r="C26" t="n">
        <v>74.09999999999999</v>
      </c>
      <c r="D26" t="n">
        <v>300</v>
      </c>
    </row>
    <row r="27">
      <c r="A27" t="inlineStr">
        <is>
          <t>Mon 23:00</t>
        </is>
      </c>
      <c r="B27" t="n">
        <v>59.8</v>
      </c>
      <c r="C27" t="n">
        <v>59.8</v>
      </c>
      <c r="D27" t="n">
        <v>300</v>
      </c>
    </row>
    <row r="28">
      <c r="A28" t="inlineStr">
        <is>
          <t>Tue 00:00</t>
        </is>
      </c>
      <c r="B28" t="n">
        <v>50.5</v>
      </c>
      <c r="C28" t="n">
        <v>50.5</v>
      </c>
      <c r="D28" t="n">
        <v>300</v>
      </c>
    </row>
    <row r="29">
      <c r="A29" t="inlineStr">
        <is>
          <t>Tue 01:00</t>
        </is>
      </c>
      <c r="B29" t="n">
        <v>47.5</v>
      </c>
      <c r="C29" t="n">
        <v>47.5</v>
      </c>
      <c r="D29" t="n">
        <v>300</v>
      </c>
    </row>
    <row r="30">
      <c r="A30" t="inlineStr">
        <is>
          <t>Tue 02:00</t>
        </is>
      </c>
      <c r="B30" t="n">
        <v>47.9</v>
      </c>
      <c r="C30" t="n">
        <v>47.9</v>
      </c>
      <c r="D30" t="n">
        <v>300</v>
      </c>
    </row>
    <row r="31">
      <c r="A31" t="inlineStr">
        <is>
          <t>Tue 03:00</t>
        </is>
      </c>
      <c r="B31" t="n">
        <v>47.5</v>
      </c>
      <c r="C31" t="n">
        <v>47.5</v>
      </c>
      <c r="D31" t="n">
        <v>300</v>
      </c>
    </row>
    <row r="32">
      <c r="A32" t="inlineStr">
        <is>
          <t>Tue 04:00</t>
        </is>
      </c>
      <c r="B32" t="n">
        <v>49.7</v>
      </c>
      <c r="C32" t="n">
        <v>49.7</v>
      </c>
      <c r="D32" t="n">
        <v>300</v>
      </c>
    </row>
    <row r="33">
      <c r="A33" t="inlineStr">
        <is>
          <t>Tue 05:00</t>
        </is>
      </c>
      <c r="B33" t="n">
        <v>51.3</v>
      </c>
      <c r="C33" t="n">
        <v>51.3</v>
      </c>
      <c r="D33" t="n">
        <v>300</v>
      </c>
    </row>
    <row r="34">
      <c r="A34" t="inlineStr">
        <is>
          <t>Tue 06:00</t>
        </is>
      </c>
      <c r="B34" t="n">
        <v>54.1</v>
      </c>
      <c r="C34" t="n">
        <v>54.1</v>
      </c>
      <c r="D34" t="n">
        <v>300</v>
      </c>
    </row>
    <row r="35">
      <c r="A35" t="inlineStr">
        <is>
          <t>Tue 07:00</t>
        </is>
      </c>
      <c r="B35" t="n">
        <v>54.4</v>
      </c>
      <c r="C35" t="n">
        <v>54.4</v>
      </c>
      <c r="D35" t="n">
        <v>300</v>
      </c>
    </row>
    <row r="36">
      <c r="A36" t="inlineStr">
        <is>
          <t>Tue 08:00</t>
        </is>
      </c>
      <c r="B36" t="n">
        <v>59.6</v>
      </c>
      <c r="C36" t="n">
        <v>59.6</v>
      </c>
      <c r="D36" t="n">
        <v>300</v>
      </c>
    </row>
    <row r="37">
      <c r="A37" t="inlineStr">
        <is>
          <t>Tue 09:00</t>
        </is>
      </c>
      <c r="B37" t="n">
        <v>70.59999999999999</v>
      </c>
      <c r="C37" t="n">
        <v>70.59999999999999</v>
      </c>
      <c r="D37" t="n">
        <v>300</v>
      </c>
    </row>
    <row r="38">
      <c r="A38" t="inlineStr">
        <is>
          <t>Tue 10:00</t>
        </is>
      </c>
      <c r="B38" t="n">
        <v>69.8</v>
      </c>
      <c r="C38" t="n">
        <v>69.8</v>
      </c>
      <c r="D38" t="n">
        <v>300</v>
      </c>
    </row>
    <row r="39">
      <c r="A39" t="inlineStr">
        <is>
          <t>Tue 11:00</t>
        </is>
      </c>
      <c r="B39" t="n">
        <v>70</v>
      </c>
      <c r="C39" t="n">
        <v>70</v>
      </c>
      <c r="D39" t="n">
        <v>300</v>
      </c>
    </row>
    <row r="40">
      <c r="A40" t="inlineStr">
        <is>
          <t>Tue 12:00</t>
        </is>
      </c>
      <c r="B40" t="n">
        <v>70.09999999999999</v>
      </c>
      <c r="C40" t="n">
        <v>70.09999999999999</v>
      </c>
      <c r="D40" t="n">
        <v>300</v>
      </c>
    </row>
    <row r="41">
      <c r="A41" t="inlineStr">
        <is>
          <t>Tue 13:00</t>
        </is>
      </c>
      <c r="B41" t="n">
        <v>67</v>
      </c>
      <c r="C41" t="n">
        <v>67</v>
      </c>
      <c r="D41" t="n">
        <v>300</v>
      </c>
    </row>
    <row r="42">
      <c r="A42" t="inlineStr">
        <is>
          <t>Tue 14:00</t>
        </is>
      </c>
      <c r="B42" t="n">
        <v>66.2</v>
      </c>
      <c r="C42" t="n">
        <v>66.2</v>
      </c>
      <c r="D42" t="n">
        <v>300</v>
      </c>
    </row>
    <row r="43">
      <c r="A43" t="inlineStr">
        <is>
          <t>Tue 15:00</t>
        </is>
      </c>
      <c r="B43" t="n">
        <v>67.90000000000001</v>
      </c>
      <c r="C43" t="n">
        <v>67.90000000000001</v>
      </c>
      <c r="D43" t="n">
        <v>300</v>
      </c>
    </row>
    <row r="44">
      <c r="A44" t="inlineStr">
        <is>
          <t>Tue 16:00</t>
        </is>
      </c>
      <c r="B44" t="n">
        <v>69.3</v>
      </c>
      <c r="C44" t="n">
        <v>69.3</v>
      </c>
      <c r="D44" t="n">
        <v>300</v>
      </c>
    </row>
    <row r="45">
      <c r="A45" t="inlineStr">
        <is>
          <t>Tue 17:00</t>
        </is>
      </c>
      <c r="B45" t="n">
        <v>68.3</v>
      </c>
      <c r="C45" t="n">
        <v>68.3</v>
      </c>
      <c r="D45" t="n">
        <v>300</v>
      </c>
    </row>
    <row r="46">
      <c r="A46" t="inlineStr">
        <is>
          <t>Tue 18:00</t>
        </is>
      </c>
      <c r="B46" t="n">
        <v>67</v>
      </c>
      <c r="C46" t="n">
        <v>67</v>
      </c>
      <c r="D46" t="n">
        <v>300</v>
      </c>
    </row>
    <row r="47">
      <c r="A47" t="inlineStr">
        <is>
          <t>Tue 19:00</t>
        </is>
      </c>
      <c r="B47" t="n">
        <v>65.59999999999999</v>
      </c>
      <c r="C47" t="n">
        <v>65.59999999999999</v>
      </c>
      <c r="D47" t="n">
        <v>300</v>
      </c>
    </row>
    <row r="48">
      <c r="A48" t="inlineStr">
        <is>
          <t>Tue 20:00</t>
        </is>
      </c>
      <c r="B48" t="n">
        <v>66.09999999999999</v>
      </c>
      <c r="C48" t="n">
        <v>66.09999999999999</v>
      </c>
      <c r="D48" t="n">
        <v>300</v>
      </c>
    </row>
    <row r="49">
      <c r="A49" t="inlineStr">
        <is>
          <t>Tue 21:00</t>
        </is>
      </c>
      <c r="B49" t="n">
        <v>72.3</v>
      </c>
      <c r="C49" t="n">
        <v>72.3</v>
      </c>
      <c r="D49" t="n">
        <v>300</v>
      </c>
    </row>
    <row r="50">
      <c r="A50" t="inlineStr">
        <is>
          <t>Tue 22:00</t>
        </is>
      </c>
      <c r="B50" t="n">
        <v>73.09999999999999</v>
      </c>
      <c r="C50" t="n">
        <v>73.09999999999999</v>
      </c>
      <c r="D50" t="n">
        <v>300</v>
      </c>
    </row>
    <row r="51">
      <c r="A51" t="inlineStr">
        <is>
          <t>Tue 23:00</t>
        </is>
      </c>
      <c r="B51" t="n">
        <v>66.90000000000001</v>
      </c>
      <c r="C51" t="n">
        <v>66.90000000000001</v>
      </c>
      <c r="D51" t="n">
        <v>300</v>
      </c>
    </row>
    <row r="52">
      <c r="A52" t="inlineStr">
        <is>
          <t>Wed 00:00</t>
        </is>
      </c>
      <c r="B52" t="n">
        <v>58.6</v>
      </c>
      <c r="C52" t="n">
        <v>58.6</v>
      </c>
      <c r="D52" t="n">
        <v>300</v>
      </c>
    </row>
    <row r="53">
      <c r="A53" t="inlineStr">
        <is>
          <t>Wed 01:00</t>
        </is>
      </c>
      <c r="B53" t="n">
        <v>56.8</v>
      </c>
      <c r="C53" t="n">
        <v>56.8</v>
      </c>
      <c r="D53" t="n">
        <v>300</v>
      </c>
    </row>
    <row r="54">
      <c r="A54" t="inlineStr">
        <is>
          <t>Wed 02:00</t>
        </is>
      </c>
      <c r="B54" t="n">
        <v>55.9</v>
      </c>
      <c r="C54" t="n">
        <v>55.9</v>
      </c>
      <c r="D54" t="n">
        <v>300</v>
      </c>
    </row>
    <row r="55">
      <c r="A55" t="inlineStr">
        <is>
          <t>Wed 03:00</t>
        </is>
      </c>
      <c r="B55" t="n">
        <v>54.8</v>
      </c>
      <c r="C55" t="n">
        <v>54.8</v>
      </c>
      <c r="D55" t="n">
        <v>300</v>
      </c>
    </row>
    <row r="56">
      <c r="A56" t="inlineStr">
        <is>
          <t>Wed 04:00</t>
        </is>
      </c>
      <c r="B56" t="n">
        <v>54</v>
      </c>
      <c r="C56" t="n">
        <v>54</v>
      </c>
      <c r="D56" t="n">
        <v>300</v>
      </c>
    </row>
    <row r="57">
      <c r="A57" t="inlineStr">
        <is>
          <t>Wed 05:00</t>
        </is>
      </c>
      <c r="B57" t="n">
        <v>53.9</v>
      </c>
      <c r="C57" t="n">
        <v>53.9</v>
      </c>
      <c r="D57" t="n">
        <v>300</v>
      </c>
    </row>
    <row r="58">
      <c r="A58" t="inlineStr">
        <is>
          <t>Wed 06:00</t>
        </is>
      </c>
      <c r="B58" t="n">
        <v>56.6</v>
      </c>
      <c r="C58" t="n">
        <v>56.6</v>
      </c>
      <c r="D58" t="n">
        <v>300</v>
      </c>
    </row>
    <row r="59">
      <c r="A59" t="inlineStr">
        <is>
          <t>Wed 07:00</t>
        </is>
      </c>
      <c r="B59" t="n">
        <v>61.7</v>
      </c>
      <c r="C59" t="n">
        <v>61.7</v>
      </c>
      <c r="D59" t="n">
        <v>300</v>
      </c>
    </row>
    <row r="60">
      <c r="A60" t="inlineStr">
        <is>
          <t>Wed 08:00</t>
        </is>
      </c>
      <c r="B60" t="n">
        <v>72.40000000000001</v>
      </c>
      <c r="C60" t="n">
        <v>72.40000000000001</v>
      </c>
      <c r="D60" t="n">
        <v>300</v>
      </c>
    </row>
    <row r="61">
      <c r="A61" t="inlineStr">
        <is>
          <t>Wed 09:00</t>
        </is>
      </c>
      <c r="B61" t="n">
        <v>73</v>
      </c>
      <c r="C61" t="n">
        <v>73</v>
      </c>
      <c r="D61" t="n">
        <v>300</v>
      </c>
    </row>
    <row r="62">
      <c r="A62" t="inlineStr">
        <is>
          <t>Wed 10:00</t>
        </is>
      </c>
      <c r="B62" t="n">
        <v>73.7</v>
      </c>
      <c r="C62" t="n">
        <v>73.7</v>
      </c>
      <c r="D62" t="n">
        <v>300</v>
      </c>
    </row>
    <row r="63">
      <c r="A63" t="inlineStr">
        <is>
          <t>Wed 11:00</t>
        </is>
      </c>
      <c r="B63" t="n">
        <v>67.59999999999999</v>
      </c>
      <c r="C63" t="n">
        <v>67.59999999999999</v>
      </c>
      <c r="D63" t="n">
        <v>300</v>
      </c>
    </row>
    <row r="64">
      <c r="A64" t="inlineStr">
        <is>
          <t>Wed 12:00</t>
        </is>
      </c>
      <c r="B64" t="n">
        <v>64.3</v>
      </c>
      <c r="C64" t="n">
        <v>64.3</v>
      </c>
      <c r="D64" t="n">
        <v>300</v>
      </c>
    </row>
    <row r="65">
      <c r="A65" t="inlineStr">
        <is>
          <t>Wed 13:00</t>
        </is>
      </c>
      <c r="B65" t="n">
        <v>64.09999999999999</v>
      </c>
      <c r="C65" t="n">
        <v>64.09999999999999</v>
      </c>
      <c r="D65" t="n">
        <v>300</v>
      </c>
    </row>
    <row r="66">
      <c r="A66" t="inlineStr">
        <is>
          <t>Wed 14:00</t>
        </is>
      </c>
      <c r="B66" t="n">
        <v>66.3</v>
      </c>
      <c r="C66" t="n">
        <v>66.3</v>
      </c>
      <c r="D66" t="n">
        <v>300</v>
      </c>
    </row>
    <row r="67">
      <c r="A67" t="inlineStr">
        <is>
          <t>Wed 15:00</t>
        </is>
      </c>
      <c r="B67" t="n">
        <v>72.5</v>
      </c>
      <c r="C67" t="n">
        <v>72.5</v>
      </c>
      <c r="D67" t="n">
        <v>300</v>
      </c>
    </row>
    <row r="68">
      <c r="A68" t="inlineStr">
        <is>
          <t>Wed 16:00</t>
        </is>
      </c>
      <c r="B68" t="n">
        <v>75.09999999999999</v>
      </c>
      <c r="C68" t="n">
        <v>75.09999999999999</v>
      </c>
      <c r="D68" t="n">
        <v>300</v>
      </c>
    </row>
    <row r="69">
      <c r="A69" t="inlineStr">
        <is>
          <t>Wed 17:00</t>
        </is>
      </c>
      <c r="B69" t="n">
        <v>70.90000000000001</v>
      </c>
      <c r="C69" t="n">
        <v>70.90000000000001</v>
      </c>
      <c r="D69" t="n">
        <v>300</v>
      </c>
    </row>
    <row r="70">
      <c r="A70" t="inlineStr">
        <is>
          <t>Wed 18:00</t>
        </is>
      </c>
      <c r="B70" t="n">
        <v>70.7</v>
      </c>
      <c r="C70" t="n">
        <v>70.7</v>
      </c>
      <c r="D70" t="n">
        <v>300</v>
      </c>
    </row>
    <row r="71">
      <c r="A71" t="inlineStr">
        <is>
          <t>Wed 19:00</t>
        </is>
      </c>
      <c r="B71" t="n">
        <v>75.2</v>
      </c>
      <c r="C71" t="n">
        <v>75.2</v>
      </c>
      <c r="D71" t="n">
        <v>300</v>
      </c>
    </row>
    <row r="72">
      <c r="A72" t="inlineStr">
        <is>
          <t>Wed 20:00</t>
        </is>
      </c>
      <c r="B72" t="n">
        <v>79.09999999999999</v>
      </c>
      <c r="C72" t="n">
        <v>79.09999999999999</v>
      </c>
      <c r="D72" t="n">
        <v>300</v>
      </c>
    </row>
    <row r="73">
      <c r="A73" t="inlineStr">
        <is>
          <t>Wed 21:00</t>
        </is>
      </c>
      <c r="B73" t="n">
        <v>79.40000000000001</v>
      </c>
      <c r="C73" t="n">
        <v>79.40000000000001</v>
      </c>
      <c r="D73" t="n">
        <v>300</v>
      </c>
    </row>
    <row r="74">
      <c r="A74" t="inlineStr">
        <is>
          <t>Wed 22:00</t>
        </is>
      </c>
      <c r="B74" t="n">
        <v>72.09999999999999</v>
      </c>
      <c r="C74" t="n">
        <v>72.09999999999999</v>
      </c>
      <c r="D74" t="n">
        <v>300</v>
      </c>
    </row>
    <row r="75">
      <c r="A75" t="inlineStr">
        <is>
          <t>Wed 23:00</t>
        </is>
      </c>
      <c r="B75" t="n">
        <v>68.59999999999999</v>
      </c>
      <c r="C75" t="n">
        <v>68.59999999999999</v>
      </c>
      <c r="D75" t="n">
        <v>300</v>
      </c>
    </row>
    <row r="76">
      <c r="A76" t="inlineStr">
        <is>
          <t>Thu 00:00</t>
        </is>
      </c>
      <c r="B76" t="n">
        <v>68.40000000000001</v>
      </c>
      <c r="C76" t="n">
        <v>68.40000000000001</v>
      </c>
      <c r="D76" t="n">
        <v>300</v>
      </c>
    </row>
    <row r="77">
      <c r="A77" t="inlineStr">
        <is>
          <t>Thu 01:00</t>
        </is>
      </c>
      <c r="B77" t="n">
        <v>68</v>
      </c>
      <c r="C77" t="n">
        <v>68</v>
      </c>
      <c r="D77" t="n">
        <v>300</v>
      </c>
    </row>
    <row r="78">
      <c r="A78" t="inlineStr">
        <is>
          <t>Thu 02:00</t>
        </is>
      </c>
      <c r="B78" t="n">
        <v>67.90000000000001</v>
      </c>
      <c r="C78" t="n">
        <v>67.90000000000001</v>
      </c>
      <c r="D78" t="n">
        <v>300</v>
      </c>
    </row>
    <row r="79">
      <c r="A79" t="inlineStr">
        <is>
          <t>Thu 03:00</t>
        </is>
      </c>
      <c r="B79" t="n">
        <v>67.7</v>
      </c>
      <c r="C79" t="n">
        <v>67.7</v>
      </c>
      <c r="D79" t="n">
        <v>300</v>
      </c>
    </row>
    <row r="80">
      <c r="A80" t="inlineStr">
        <is>
          <t>Thu 04:00</t>
        </is>
      </c>
      <c r="B80" t="n">
        <v>65.3</v>
      </c>
      <c r="C80" t="n">
        <v>65.3</v>
      </c>
      <c r="D80" t="n">
        <v>300</v>
      </c>
    </row>
    <row r="81">
      <c r="A81" t="inlineStr">
        <is>
          <t>Thu 05:00</t>
        </is>
      </c>
      <c r="B81" t="n">
        <v>59.8</v>
      </c>
      <c r="C81" t="n">
        <v>59.8</v>
      </c>
      <c r="D81" t="n">
        <v>300</v>
      </c>
    </row>
    <row r="82">
      <c r="A82" t="inlineStr">
        <is>
          <t>Thu 06:00</t>
        </is>
      </c>
      <c r="B82" t="n">
        <v>60.1</v>
      </c>
      <c r="C82" t="n">
        <v>60.1</v>
      </c>
      <c r="D82" t="n">
        <v>300</v>
      </c>
    </row>
    <row r="83">
      <c r="A83" t="inlineStr">
        <is>
          <t>Thu 07:00</t>
        </is>
      </c>
      <c r="B83" t="n">
        <v>53.8</v>
      </c>
      <c r="C83" t="n">
        <v>53.8</v>
      </c>
      <c r="D83" t="n">
        <v>300</v>
      </c>
    </row>
    <row r="84">
      <c r="A84" t="inlineStr">
        <is>
          <t>Thu 08:00</t>
        </is>
      </c>
      <c r="B84" t="n">
        <v>51.1</v>
      </c>
      <c r="C84" t="n">
        <v>51.1</v>
      </c>
      <c r="D84" t="n">
        <v>300</v>
      </c>
    </row>
    <row r="85">
      <c r="A85" t="inlineStr">
        <is>
          <t>Thu 09:00</t>
        </is>
      </c>
      <c r="B85" t="n">
        <v>54.1</v>
      </c>
      <c r="C85" t="n">
        <v>54.1</v>
      </c>
      <c r="D85" t="n">
        <v>300</v>
      </c>
    </row>
    <row r="86">
      <c r="A86" t="inlineStr">
        <is>
          <t>Thu 10:00</t>
        </is>
      </c>
      <c r="B86" t="n">
        <v>66.8</v>
      </c>
      <c r="C86" t="n">
        <v>66.8</v>
      </c>
      <c r="D86" t="n">
        <v>300</v>
      </c>
    </row>
    <row r="87">
      <c r="A87" t="inlineStr">
        <is>
          <t>Thu 11:00</t>
        </is>
      </c>
      <c r="B87" t="n">
        <v>61.7</v>
      </c>
      <c r="C87" t="n">
        <v>61.7</v>
      </c>
      <c r="D87" t="n">
        <v>300</v>
      </c>
    </row>
    <row r="88">
      <c r="A88" t="inlineStr">
        <is>
          <t>Thu 12:00</t>
        </is>
      </c>
      <c r="B88" t="n">
        <v>57.8</v>
      </c>
      <c r="C88" t="n">
        <v>57.8</v>
      </c>
      <c r="D88" t="n">
        <v>300</v>
      </c>
    </row>
    <row r="89">
      <c r="A89" t="inlineStr">
        <is>
          <t>Thu 13:00</t>
        </is>
      </c>
      <c r="B89" t="n">
        <v>55.6</v>
      </c>
      <c r="C89" t="n">
        <v>55.6</v>
      </c>
      <c r="D89" t="n">
        <v>300</v>
      </c>
    </row>
    <row r="90">
      <c r="A90" t="inlineStr">
        <is>
          <t>Thu 14:00</t>
        </is>
      </c>
      <c r="B90" t="n">
        <v>53.5</v>
      </c>
      <c r="C90" t="n">
        <v>53.5</v>
      </c>
      <c r="D90" t="n">
        <v>300</v>
      </c>
    </row>
    <row r="91">
      <c r="A91" t="inlineStr">
        <is>
          <t>Thu 15:00</t>
        </is>
      </c>
      <c r="B91" t="n">
        <v>53.8</v>
      </c>
      <c r="C91" t="n">
        <v>53.8</v>
      </c>
      <c r="D91" t="n">
        <v>300</v>
      </c>
    </row>
    <row r="92">
      <c r="A92" t="inlineStr">
        <is>
          <t>Thu 16:00</t>
        </is>
      </c>
      <c r="B92" t="n">
        <v>57.5</v>
      </c>
      <c r="C92" t="n">
        <v>57.5</v>
      </c>
      <c r="D92" t="n">
        <v>300</v>
      </c>
    </row>
    <row r="93">
      <c r="A93" t="inlineStr">
        <is>
          <t>Thu 17:00</t>
        </is>
      </c>
      <c r="B93" t="n">
        <v>71.7</v>
      </c>
      <c r="C93" t="n">
        <v>71.7</v>
      </c>
      <c r="D93" t="n">
        <v>300</v>
      </c>
    </row>
    <row r="94">
      <c r="A94" t="inlineStr">
        <is>
          <t>Thu 18:00</t>
        </is>
      </c>
      <c r="B94" t="n">
        <v>64.2</v>
      </c>
      <c r="C94" t="n">
        <v>64.2</v>
      </c>
      <c r="D94" t="n">
        <v>300</v>
      </c>
    </row>
    <row r="95">
      <c r="A95" t="inlineStr">
        <is>
          <t>Thu 19:00</t>
        </is>
      </c>
      <c r="B95" t="n">
        <v>57.7</v>
      </c>
      <c r="C95" t="n">
        <v>57.7</v>
      </c>
      <c r="D95" t="n">
        <v>300</v>
      </c>
    </row>
    <row r="96">
      <c r="A96" t="inlineStr">
        <is>
          <t>Thu 20:00</t>
        </is>
      </c>
      <c r="B96" t="n">
        <v>57.9</v>
      </c>
      <c r="C96" t="n">
        <v>57.9</v>
      </c>
      <c r="D96" t="n">
        <v>300</v>
      </c>
    </row>
    <row r="97">
      <c r="A97" t="inlineStr">
        <is>
          <t>Thu 21:00</t>
        </is>
      </c>
      <c r="B97" t="n">
        <v>57.4</v>
      </c>
      <c r="C97" t="n">
        <v>57.4</v>
      </c>
      <c r="D97" t="n">
        <v>300</v>
      </c>
    </row>
    <row r="98">
      <c r="A98" t="inlineStr">
        <is>
          <t>Thu 22:00</t>
        </is>
      </c>
      <c r="B98" t="n">
        <v>48.7</v>
      </c>
      <c r="C98" t="n">
        <v>48.7</v>
      </c>
      <c r="D98" t="n">
        <v>300</v>
      </c>
    </row>
    <row r="99">
      <c r="A99" t="inlineStr">
        <is>
          <t>Thu 23:00</t>
        </is>
      </c>
      <c r="B99" t="n">
        <v>46.9</v>
      </c>
      <c r="C99" t="n">
        <v>46.9</v>
      </c>
      <c r="D99" t="n">
        <v>300</v>
      </c>
    </row>
    <row r="100">
      <c r="A100" t="inlineStr">
        <is>
          <t>Fri 00:00</t>
        </is>
      </c>
      <c r="B100" t="n">
        <v>46.7</v>
      </c>
      <c r="C100" t="n">
        <v>46.7</v>
      </c>
      <c r="D100" t="n">
        <v>300</v>
      </c>
    </row>
    <row r="101">
      <c r="A101" t="inlineStr">
        <is>
          <t>Fri 01:00</t>
        </is>
      </c>
      <c r="B101" t="n">
        <v>45.9</v>
      </c>
      <c r="C101" t="n">
        <v>45.9</v>
      </c>
      <c r="D101" t="n">
        <v>300</v>
      </c>
    </row>
    <row r="102">
      <c r="A102" t="inlineStr">
        <is>
          <t>Fri 02:00</t>
        </is>
      </c>
      <c r="B102" t="n">
        <v>46.2</v>
      </c>
      <c r="C102" t="n">
        <v>46.2</v>
      </c>
      <c r="D102" t="n">
        <v>300</v>
      </c>
    </row>
    <row r="103">
      <c r="A103" t="inlineStr">
        <is>
          <t>Fri 03:00</t>
        </is>
      </c>
      <c r="B103" t="n">
        <v>45.8</v>
      </c>
      <c r="C103" t="n">
        <v>45.8</v>
      </c>
      <c r="D103" t="n">
        <v>300</v>
      </c>
    </row>
    <row r="104">
      <c r="A104" t="inlineStr">
        <is>
          <t>Fri 04:00</t>
        </is>
      </c>
      <c r="B104" t="n">
        <v>45.8</v>
      </c>
      <c r="C104" t="n">
        <v>45.8</v>
      </c>
      <c r="D104" t="n">
        <v>300</v>
      </c>
    </row>
    <row r="105">
      <c r="A105" t="inlineStr">
        <is>
          <t>Fri 05:00</t>
        </is>
      </c>
      <c r="B105" t="n">
        <v>45.8</v>
      </c>
      <c r="C105" t="n">
        <v>45.8</v>
      </c>
      <c r="D105" t="n">
        <v>300</v>
      </c>
    </row>
    <row r="106">
      <c r="A106" t="inlineStr">
        <is>
          <t>Fri 06:00</t>
        </is>
      </c>
      <c r="B106" t="n">
        <v>46.4</v>
      </c>
      <c r="C106" t="n">
        <v>46.4</v>
      </c>
      <c r="D106" t="n">
        <v>300</v>
      </c>
    </row>
    <row r="107">
      <c r="A107" t="inlineStr">
        <is>
          <t>Fri 07:00</t>
        </is>
      </c>
      <c r="B107" t="n">
        <v>50.8</v>
      </c>
      <c r="C107" t="n">
        <v>50.8</v>
      </c>
      <c r="D107" t="n">
        <v>300</v>
      </c>
    </row>
    <row r="108">
      <c r="A108" t="inlineStr">
        <is>
          <t>Fri 08:00</t>
        </is>
      </c>
      <c r="B108" t="n">
        <v>55.4</v>
      </c>
      <c r="C108" t="n">
        <v>55.4</v>
      </c>
      <c r="D108" t="n">
        <v>300</v>
      </c>
    </row>
    <row r="109">
      <c r="A109" t="inlineStr">
        <is>
          <t>Fri 09:00</t>
        </is>
      </c>
      <c r="B109" t="n">
        <v>58.8</v>
      </c>
      <c r="C109" t="n">
        <v>58.8</v>
      </c>
      <c r="D109" t="n">
        <v>300</v>
      </c>
    </row>
    <row r="110">
      <c r="A110" t="inlineStr">
        <is>
          <t>Fri 10:00</t>
        </is>
      </c>
      <c r="B110" t="n">
        <v>58.9</v>
      </c>
      <c r="C110" t="n">
        <v>58.9</v>
      </c>
      <c r="D110" t="n">
        <v>300</v>
      </c>
    </row>
    <row r="111">
      <c r="A111" t="inlineStr">
        <is>
          <t>Fri 11:00</t>
        </is>
      </c>
      <c r="B111" t="n">
        <v>63.7</v>
      </c>
      <c r="C111" t="n">
        <v>63.7</v>
      </c>
      <c r="D111" t="n">
        <v>300</v>
      </c>
    </row>
    <row r="112">
      <c r="A112" t="inlineStr">
        <is>
          <t>Fri 12:00</t>
        </is>
      </c>
      <c r="B112" t="n">
        <v>67.2</v>
      </c>
      <c r="C112" t="n">
        <v>67.2</v>
      </c>
      <c r="D112" t="n">
        <v>300</v>
      </c>
    </row>
    <row r="113">
      <c r="A113" t="inlineStr">
        <is>
          <t>Fri 13:00</t>
        </is>
      </c>
      <c r="B113" t="n">
        <v>66.5</v>
      </c>
      <c r="C113" t="n">
        <v>66.5</v>
      </c>
      <c r="D113" t="n">
        <v>300</v>
      </c>
    </row>
    <row r="114">
      <c r="A114" t="inlineStr">
        <is>
          <t>Fri 14:00</t>
        </is>
      </c>
      <c r="B114" t="n">
        <v>66.2</v>
      </c>
      <c r="C114" t="n">
        <v>66.2</v>
      </c>
      <c r="D114" t="n">
        <v>300</v>
      </c>
    </row>
    <row r="115">
      <c r="A115" t="inlineStr">
        <is>
          <t>Fri 15:00</t>
        </is>
      </c>
      <c r="B115" t="n">
        <v>65.7</v>
      </c>
      <c r="C115" t="n">
        <v>65.7</v>
      </c>
      <c r="D115" t="n">
        <v>300</v>
      </c>
    </row>
    <row r="116">
      <c r="A116" t="inlineStr">
        <is>
          <t>Fri 16:00</t>
        </is>
      </c>
      <c r="B116" t="n">
        <v>70.8</v>
      </c>
      <c r="C116" t="n">
        <v>70.8</v>
      </c>
      <c r="D116" t="n">
        <v>300</v>
      </c>
    </row>
    <row r="117">
      <c r="A117" t="inlineStr">
        <is>
          <t>Fri 17:00</t>
        </is>
      </c>
      <c r="B117" t="n">
        <v>71.2</v>
      </c>
      <c r="C117" t="n">
        <v>71.2</v>
      </c>
      <c r="D117" t="n">
        <v>300</v>
      </c>
    </row>
    <row r="118">
      <c r="A118" t="inlineStr">
        <is>
          <t>Fri 18:00</t>
        </is>
      </c>
      <c r="B118" t="n">
        <v>70.5</v>
      </c>
      <c r="C118" t="n">
        <v>70.5</v>
      </c>
      <c r="D118" t="n">
        <v>300</v>
      </c>
    </row>
    <row r="119">
      <c r="A119" t="inlineStr">
        <is>
          <t>Fri 19:00</t>
        </is>
      </c>
      <c r="B119" t="n">
        <v>61.1</v>
      </c>
      <c r="C119" t="n">
        <v>61.1</v>
      </c>
      <c r="D119" t="n">
        <v>300</v>
      </c>
    </row>
    <row r="120">
      <c r="A120" t="inlineStr">
        <is>
          <t>Fri 20:00</t>
        </is>
      </c>
      <c r="B120" t="n">
        <v>50.6</v>
      </c>
      <c r="C120" t="n">
        <v>50.6</v>
      </c>
      <c r="D120" t="n">
        <v>300</v>
      </c>
    </row>
    <row r="121">
      <c r="A121" t="inlineStr">
        <is>
          <t>Fri 21:00</t>
        </is>
      </c>
      <c r="B121" t="n">
        <v>47.5</v>
      </c>
      <c r="C121" t="n">
        <v>47.5</v>
      </c>
      <c r="D121" t="n">
        <v>300</v>
      </c>
    </row>
    <row r="122">
      <c r="A122" t="inlineStr">
        <is>
          <t>Fri 22:00</t>
        </is>
      </c>
      <c r="B122" t="n">
        <v>46.1</v>
      </c>
      <c r="C122" t="n">
        <v>46.1</v>
      </c>
      <c r="D122" t="n">
        <v>300</v>
      </c>
    </row>
    <row r="123">
      <c r="A123" t="inlineStr">
        <is>
          <t>Fri 23:00</t>
        </is>
      </c>
      <c r="B123" t="n">
        <v>46.5</v>
      </c>
      <c r="C123" t="n">
        <v>46.5</v>
      </c>
      <c r="D123" t="n">
        <v>300</v>
      </c>
    </row>
    <row r="124">
      <c r="A124" t="inlineStr">
        <is>
          <t>Sat 00:00</t>
        </is>
      </c>
      <c r="B124" t="n">
        <v>47.5</v>
      </c>
      <c r="C124" t="n">
        <v>47.5</v>
      </c>
      <c r="D124" t="n">
        <v>300</v>
      </c>
    </row>
    <row r="125">
      <c r="A125" t="inlineStr">
        <is>
          <t>Sat 01:00</t>
        </is>
      </c>
      <c r="B125" t="n">
        <v>48</v>
      </c>
      <c r="C125" t="n">
        <v>48</v>
      </c>
      <c r="D125" t="n">
        <v>300</v>
      </c>
    </row>
    <row r="126">
      <c r="A126" t="inlineStr">
        <is>
          <t>Sat 02:00</t>
        </is>
      </c>
      <c r="B126" t="n">
        <v>46.4</v>
      </c>
      <c r="C126" t="n">
        <v>46.4</v>
      </c>
      <c r="D126" t="n">
        <v>300</v>
      </c>
    </row>
    <row r="127">
      <c r="A127" t="inlineStr">
        <is>
          <t>Sat 03:00</t>
        </is>
      </c>
      <c r="B127" t="n">
        <v>46.4</v>
      </c>
      <c r="C127" t="n">
        <v>46.4</v>
      </c>
      <c r="D127" t="n">
        <v>300</v>
      </c>
    </row>
    <row r="128">
      <c r="A128" t="inlineStr">
        <is>
          <t>Sat 04:00</t>
        </is>
      </c>
      <c r="B128" t="n">
        <v>46.4</v>
      </c>
      <c r="C128" t="n">
        <v>46.4</v>
      </c>
      <c r="D128" t="n">
        <v>300</v>
      </c>
    </row>
    <row r="129">
      <c r="A129" t="inlineStr">
        <is>
          <t>Sat 05:00</t>
        </is>
      </c>
      <c r="B129" t="n">
        <v>46.5</v>
      </c>
      <c r="C129" t="n">
        <v>46.5</v>
      </c>
      <c r="D129" t="n">
        <v>300</v>
      </c>
    </row>
    <row r="130">
      <c r="A130" t="inlineStr">
        <is>
          <t>Sat 06:00</t>
        </is>
      </c>
      <c r="B130" t="n">
        <v>46.4</v>
      </c>
      <c r="C130" t="n">
        <v>46.4</v>
      </c>
      <c r="D130" t="n">
        <v>300</v>
      </c>
    </row>
    <row r="131">
      <c r="A131" t="inlineStr">
        <is>
          <t>Sat 07:00</t>
        </is>
      </c>
      <c r="B131" t="n">
        <v>46.6</v>
      </c>
      <c r="C131" t="n">
        <v>46.6</v>
      </c>
      <c r="D131" t="n">
        <v>300</v>
      </c>
    </row>
    <row r="132">
      <c r="A132" t="inlineStr">
        <is>
          <t>Sat 08:00</t>
        </is>
      </c>
      <c r="B132" t="n">
        <v>52.8</v>
      </c>
      <c r="C132" t="n">
        <v>52.8</v>
      </c>
      <c r="D132" t="n">
        <v>300</v>
      </c>
    </row>
    <row r="133">
      <c r="A133" t="inlineStr">
        <is>
          <t>Sat 09:00</t>
        </is>
      </c>
      <c r="B133" t="n">
        <v>54.4</v>
      </c>
      <c r="C133" t="n">
        <v>54.4</v>
      </c>
      <c r="D133" t="n">
        <v>300</v>
      </c>
    </row>
    <row r="134">
      <c r="A134" t="inlineStr">
        <is>
          <t>Sat 10:00</t>
        </is>
      </c>
      <c r="B134" t="n">
        <v>54.2</v>
      </c>
      <c r="C134" t="n">
        <v>54.2</v>
      </c>
      <c r="D134" t="n">
        <v>300</v>
      </c>
    </row>
    <row r="135">
      <c r="A135" t="inlineStr">
        <is>
          <t>Sat 11:00</t>
        </is>
      </c>
      <c r="B135" t="n">
        <v>56.7</v>
      </c>
      <c r="C135" t="n">
        <v>56.7</v>
      </c>
      <c r="D135" t="n">
        <v>300</v>
      </c>
    </row>
    <row r="136">
      <c r="A136" t="inlineStr">
        <is>
          <t>Sat 12:00</t>
        </is>
      </c>
      <c r="B136" t="n">
        <v>60.8</v>
      </c>
      <c r="C136" t="n">
        <v>60.8</v>
      </c>
      <c r="D136" t="n">
        <v>300</v>
      </c>
    </row>
    <row r="137">
      <c r="A137" t="inlineStr">
        <is>
          <t>Sat 13:00</t>
        </is>
      </c>
      <c r="B137" t="n">
        <v>63.4</v>
      </c>
      <c r="C137" t="n">
        <v>63.4</v>
      </c>
      <c r="D137" t="n">
        <v>300</v>
      </c>
    </row>
    <row r="138">
      <c r="A138" t="inlineStr">
        <is>
          <t>Sat 14:00</t>
        </is>
      </c>
      <c r="B138" t="n">
        <v>67.8</v>
      </c>
      <c r="C138" t="n">
        <v>67.8</v>
      </c>
      <c r="D138" t="n">
        <v>300</v>
      </c>
    </row>
    <row r="139">
      <c r="A139" t="inlineStr">
        <is>
          <t>Sat 15:00</t>
        </is>
      </c>
      <c r="B139" t="n">
        <v>69.40000000000001</v>
      </c>
      <c r="C139" t="n">
        <v>69.40000000000001</v>
      </c>
      <c r="D139" t="n">
        <v>300</v>
      </c>
    </row>
    <row r="140">
      <c r="A140" t="inlineStr">
        <is>
          <t>Sat 16:00</t>
        </is>
      </c>
      <c r="B140" t="n">
        <v>67.40000000000001</v>
      </c>
      <c r="C140" t="n">
        <v>67.40000000000001</v>
      </c>
      <c r="D140" t="n">
        <v>300</v>
      </c>
    </row>
    <row r="141">
      <c r="A141" t="inlineStr">
        <is>
          <t>Sat 17:00</t>
        </is>
      </c>
      <c r="B141" t="n">
        <v>62.4</v>
      </c>
      <c r="C141" t="n">
        <v>62.4</v>
      </c>
      <c r="D141" t="n">
        <v>300</v>
      </c>
    </row>
    <row r="142">
      <c r="A142" t="inlineStr">
        <is>
          <t>Sat 18:00</t>
        </is>
      </c>
      <c r="B142" t="n">
        <v>54.3</v>
      </c>
      <c r="C142" t="n">
        <v>54.3</v>
      </c>
      <c r="D142" t="n">
        <v>300</v>
      </c>
    </row>
    <row r="143">
      <c r="A143" t="inlineStr">
        <is>
          <t>Sat 19:00</t>
        </is>
      </c>
      <c r="B143" t="n">
        <v>48.5</v>
      </c>
      <c r="C143" t="n">
        <v>48.5</v>
      </c>
      <c r="D143" t="n">
        <v>300</v>
      </c>
    </row>
    <row r="144">
      <c r="A144" t="inlineStr">
        <is>
          <t>Sat 20:00</t>
        </is>
      </c>
      <c r="B144" t="n">
        <v>47.6</v>
      </c>
      <c r="C144" t="n">
        <v>47.6</v>
      </c>
      <c r="D144" t="n">
        <v>300</v>
      </c>
    </row>
    <row r="145">
      <c r="A145" t="inlineStr">
        <is>
          <t>Sat 21:00</t>
        </is>
      </c>
      <c r="B145" t="n">
        <v>51.2</v>
      </c>
      <c r="C145" t="n">
        <v>51.2</v>
      </c>
      <c r="D145" t="n">
        <v>300</v>
      </c>
    </row>
    <row r="146">
      <c r="A146" t="inlineStr">
        <is>
          <t>Sat 22:00</t>
        </is>
      </c>
      <c r="B146" t="n">
        <v>53.5</v>
      </c>
      <c r="C146" t="n">
        <v>53.5</v>
      </c>
      <c r="D146" t="n">
        <v>300</v>
      </c>
    </row>
    <row r="147">
      <c r="A147" t="inlineStr">
        <is>
          <t>Sat 23:00</t>
        </is>
      </c>
      <c r="B147" t="n">
        <v>50.6</v>
      </c>
      <c r="C147" t="n">
        <v>50.6</v>
      </c>
      <c r="D147" t="n">
        <v>300</v>
      </c>
    </row>
    <row r="148">
      <c r="A148" t="inlineStr">
        <is>
          <t>Sun 00:00</t>
        </is>
      </c>
      <c r="B148" t="n">
        <v>49.7</v>
      </c>
      <c r="C148" t="n">
        <v>49.7</v>
      </c>
      <c r="D148" t="n">
        <v>300</v>
      </c>
    </row>
    <row r="149">
      <c r="A149" t="inlineStr">
        <is>
          <t>Sun 01:00</t>
        </is>
      </c>
      <c r="B149" t="n">
        <v>48.3</v>
      </c>
      <c r="C149" t="n">
        <v>48.3</v>
      </c>
      <c r="D149" t="n">
        <v>300</v>
      </c>
    </row>
    <row r="150">
      <c r="A150" t="inlineStr">
        <is>
          <t>Sun 02:00</t>
        </is>
      </c>
      <c r="B150" t="n">
        <v>47.2</v>
      </c>
      <c r="C150" t="n">
        <v>47.2</v>
      </c>
      <c r="D150" t="n">
        <v>300</v>
      </c>
    </row>
    <row r="151">
      <c r="A151" t="inlineStr">
        <is>
          <t>Sun 03:00</t>
        </is>
      </c>
      <c r="B151" t="n">
        <v>46.9</v>
      </c>
      <c r="C151" t="n">
        <v>46.9</v>
      </c>
      <c r="D151" t="n">
        <v>300</v>
      </c>
    </row>
    <row r="152">
      <c r="A152" t="inlineStr">
        <is>
          <t>Sun 04:00</t>
        </is>
      </c>
      <c r="B152" t="n">
        <v>46.9</v>
      </c>
      <c r="C152" t="n">
        <v>46.9</v>
      </c>
      <c r="D152" t="n">
        <v>300</v>
      </c>
    </row>
    <row r="153">
      <c r="A153" t="inlineStr">
        <is>
          <t>Sun 05:00</t>
        </is>
      </c>
      <c r="B153" t="n">
        <v>47.2</v>
      </c>
      <c r="C153" t="n">
        <v>47.2</v>
      </c>
      <c r="D153" t="n">
        <v>300</v>
      </c>
    </row>
    <row r="154">
      <c r="A154" t="inlineStr">
        <is>
          <t>Sun 06:00</t>
        </is>
      </c>
      <c r="B154" t="n">
        <v>46.6</v>
      </c>
      <c r="C154" t="n">
        <v>46.6</v>
      </c>
      <c r="D154" t="n">
        <v>300</v>
      </c>
    </row>
    <row r="155">
      <c r="A155" t="inlineStr">
        <is>
          <t>Sun 07:00</t>
        </is>
      </c>
      <c r="B155" t="n">
        <v>46.9</v>
      </c>
      <c r="C155" t="n">
        <v>46.9</v>
      </c>
      <c r="D155" t="n">
        <v>300</v>
      </c>
    </row>
    <row r="156">
      <c r="A156" t="inlineStr">
        <is>
          <t>Sun 08:00</t>
        </is>
      </c>
      <c r="B156" t="n">
        <v>51.5</v>
      </c>
      <c r="C156" t="n">
        <v>51.5</v>
      </c>
      <c r="D156" t="n">
        <v>300</v>
      </c>
    </row>
    <row r="157">
      <c r="A157" t="inlineStr">
        <is>
          <t>Sun 09:00</t>
        </is>
      </c>
      <c r="B157" t="n">
        <v>54.5</v>
      </c>
      <c r="C157" t="n">
        <v>54.5</v>
      </c>
      <c r="D157" t="n">
        <v>300</v>
      </c>
    </row>
    <row r="158">
      <c r="A158" t="inlineStr">
        <is>
          <t>Sun 10:00</t>
        </is>
      </c>
      <c r="B158" t="n">
        <v>57.4</v>
      </c>
      <c r="C158" t="n">
        <v>57.4</v>
      </c>
      <c r="D158" t="n">
        <v>300</v>
      </c>
    </row>
    <row r="159">
      <c r="A159" t="inlineStr">
        <is>
          <t>Sun 11:00</t>
        </is>
      </c>
      <c r="B159" t="n">
        <v>60.1</v>
      </c>
      <c r="C159" t="n">
        <v>60.1</v>
      </c>
      <c r="D159" t="n">
        <v>300</v>
      </c>
    </row>
    <row r="160">
      <c r="A160" t="inlineStr">
        <is>
          <t>Sun 12:00</t>
        </is>
      </c>
      <c r="B160" t="n">
        <v>62.5</v>
      </c>
      <c r="C160" t="n">
        <v>62.5</v>
      </c>
      <c r="D160" t="n">
        <v>300</v>
      </c>
    </row>
    <row r="161">
      <c r="A161" t="inlineStr">
        <is>
          <t>Sun 13:00</t>
        </is>
      </c>
      <c r="B161" t="n">
        <v>65.7</v>
      </c>
      <c r="C161" t="n">
        <v>65.7</v>
      </c>
      <c r="D161" t="n">
        <v>300</v>
      </c>
    </row>
    <row r="162">
      <c r="A162" t="inlineStr">
        <is>
          <t>Sun 14:00</t>
        </is>
      </c>
      <c r="B162" t="n">
        <v>62.4</v>
      </c>
      <c r="C162" t="n">
        <v>62.4</v>
      </c>
      <c r="D162" t="n">
        <v>300</v>
      </c>
    </row>
    <row r="163">
      <c r="A163" t="inlineStr">
        <is>
          <t>Sun 15:00</t>
        </is>
      </c>
      <c r="B163" t="n">
        <v>61.7</v>
      </c>
      <c r="C163" t="n">
        <v>61.7</v>
      </c>
      <c r="D163" t="n">
        <v>300</v>
      </c>
    </row>
    <row r="164">
      <c r="A164" t="inlineStr">
        <is>
          <t>Sun 16:00</t>
        </is>
      </c>
      <c r="B164" t="n">
        <v>64.09999999999999</v>
      </c>
      <c r="C164" t="n">
        <v>64.09999999999999</v>
      </c>
      <c r="D164" t="n">
        <v>300</v>
      </c>
    </row>
    <row r="165">
      <c r="A165" t="inlineStr">
        <is>
          <t>Sun 17:00</t>
        </is>
      </c>
      <c r="B165" t="n">
        <v>76</v>
      </c>
      <c r="C165" t="n">
        <v>76</v>
      </c>
      <c r="D165" t="n">
        <v>300</v>
      </c>
    </row>
    <row r="166">
      <c r="A166" t="inlineStr">
        <is>
          <t>Sun 18:00</t>
        </is>
      </c>
      <c r="B166" t="n">
        <v>76.7</v>
      </c>
      <c r="C166" t="n">
        <v>76.7</v>
      </c>
      <c r="D166" t="n">
        <v>300</v>
      </c>
    </row>
    <row r="167">
      <c r="A167" t="inlineStr">
        <is>
          <t>Sun 19:00</t>
        </is>
      </c>
      <c r="B167" t="n">
        <v>76.7</v>
      </c>
      <c r="C167" t="n">
        <v>76.7</v>
      </c>
      <c r="D167" t="n">
        <v>300</v>
      </c>
    </row>
    <row r="168">
      <c r="A168" t="inlineStr">
        <is>
          <t>Sun 20:00</t>
        </is>
      </c>
      <c r="B168" t="n">
        <v>76.5</v>
      </c>
      <c r="C168" t="n">
        <v>76.5</v>
      </c>
      <c r="D168" t="n">
        <v>300</v>
      </c>
    </row>
    <row r="169">
      <c r="A169" t="inlineStr">
        <is>
          <t>Sun 21:00</t>
        </is>
      </c>
      <c r="B169" t="n">
        <v>77.2</v>
      </c>
      <c r="C169" t="n">
        <v>77.2</v>
      </c>
      <c r="D169" t="n">
        <v>300</v>
      </c>
    </row>
    <row r="170">
      <c r="A170" t="inlineStr">
        <is>
          <t>Sun 22:00</t>
        </is>
      </c>
      <c r="B170" t="n">
        <v>77.2</v>
      </c>
      <c r="C170" t="n">
        <v>77.2</v>
      </c>
      <c r="D170" t="n">
        <v>300</v>
      </c>
    </row>
    <row r="171">
      <c r="A171" t="inlineStr">
        <is>
          <t>Sun 23:00</t>
        </is>
      </c>
      <c r="B171" t="n">
        <v>76.5</v>
      </c>
      <c r="C171" t="n">
        <v>76.5</v>
      </c>
      <c r="D171" t="n">
        <v>300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5" max="5"/>
    <col width="16" customWidth="1" min="6" max="6"/>
    <col width="16" customWidth="1" min="7" max="7"/>
  </cols>
  <sheetData>
    <row r="1">
      <c r="A1" s="1" t="inlineStr">
        <is>
          <t>15-Year Cash Flow — pulls live from CF_Calc</t>
        </is>
      </c>
    </row>
    <row r="2">
      <c r="A2" s="4" t="inlineStr">
        <is>
          <t>These two sizes mirror the CF_Calc engine. Change Assumptions and they move.</t>
        </is>
      </c>
    </row>
    <row r="4">
      <c r="A4" s="2" t="inlineStr">
        <is>
          <t>Value pick: 50/150</t>
        </is>
      </c>
      <c r="E4" s="2" t="inlineStr">
        <is>
          <t>Deep shave: 100/300</t>
        </is>
      </c>
    </row>
    <row r="5">
      <c r="A5" s="10" t="inlineStr">
        <is>
          <t>Year</t>
        </is>
      </c>
      <c r="B5" s="10" t="inlineStr">
        <is>
          <t>Net cash flow $</t>
        </is>
      </c>
      <c r="C5" s="10" t="inlineStr">
        <is>
          <t>Cumulative $</t>
        </is>
      </c>
      <c r="E5" s="10" t="inlineStr">
        <is>
          <t>Year</t>
        </is>
      </c>
      <c r="F5" s="10" t="inlineStr">
        <is>
          <t>Net cash flow $</t>
        </is>
      </c>
      <c r="G5" s="10" t="inlineStr">
        <is>
          <t>Cumulative $</t>
        </is>
      </c>
    </row>
    <row r="6">
      <c r="A6" t="n">
        <v>0</v>
      </c>
      <c r="B6" s="34">
        <f>'CF_Calc'!E7</f>
        <v/>
      </c>
      <c r="C6" s="34">
        <f>B6</f>
        <v/>
      </c>
      <c r="E6" t="n">
        <v>0</v>
      </c>
      <c r="F6" s="34">
        <f>'CF_Calc'!E10</f>
        <v/>
      </c>
      <c r="G6" s="34">
        <f>F6</f>
        <v/>
      </c>
    </row>
    <row r="7">
      <c r="A7" t="n">
        <v>1</v>
      </c>
      <c r="B7" s="34">
        <f>'CF_Calc'!F7</f>
        <v/>
      </c>
      <c r="C7" s="34">
        <f>C6+B7</f>
        <v/>
      </c>
      <c r="E7" t="n">
        <v>1</v>
      </c>
      <c r="F7" s="34">
        <f>'CF_Calc'!F10</f>
        <v/>
      </c>
      <c r="G7" s="34">
        <f>G6+F7</f>
        <v/>
      </c>
    </row>
    <row r="8">
      <c r="A8" t="n">
        <v>2</v>
      </c>
      <c r="B8" s="34">
        <f>'CF_Calc'!G7</f>
        <v/>
      </c>
      <c r="C8" s="34">
        <f>C7+B8</f>
        <v/>
      </c>
      <c r="E8" t="n">
        <v>2</v>
      </c>
      <c r="F8" s="34">
        <f>'CF_Calc'!G10</f>
        <v/>
      </c>
      <c r="G8" s="34">
        <f>G7+F8</f>
        <v/>
      </c>
    </row>
    <row r="9">
      <c r="A9" t="n">
        <v>3</v>
      </c>
      <c r="B9" s="34">
        <f>'CF_Calc'!H7</f>
        <v/>
      </c>
      <c r="C9" s="34">
        <f>C8+B9</f>
        <v/>
      </c>
      <c r="E9" t="n">
        <v>3</v>
      </c>
      <c r="F9" s="34">
        <f>'CF_Calc'!H10</f>
        <v/>
      </c>
      <c r="G9" s="34">
        <f>G8+F9</f>
        <v/>
      </c>
    </row>
    <row r="10">
      <c r="A10" t="n">
        <v>4</v>
      </c>
      <c r="B10" s="34">
        <f>'CF_Calc'!I7</f>
        <v/>
      </c>
      <c r="C10" s="34">
        <f>C9+B10</f>
        <v/>
      </c>
      <c r="E10" t="n">
        <v>4</v>
      </c>
      <c r="F10" s="34">
        <f>'CF_Calc'!I10</f>
        <v/>
      </c>
      <c r="G10" s="34">
        <f>G9+F10</f>
        <v/>
      </c>
    </row>
    <row r="11">
      <c r="A11" t="n">
        <v>5</v>
      </c>
      <c r="B11" s="34">
        <f>'CF_Calc'!J7</f>
        <v/>
      </c>
      <c r="C11" s="34">
        <f>C10+B11</f>
        <v/>
      </c>
      <c r="E11" t="n">
        <v>5</v>
      </c>
      <c r="F11" s="34">
        <f>'CF_Calc'!J10</f>
        <v/>
      </c>
      <c r="G11" s="34">
        <f>G10+F11</f>
        <v/>
      </c>
    </row>
    <row r="12">
      <c r="A12" t="n">
        <v>6</v>
      </c>
      <c r="B12" s="34">
        <f>'CF_Calc'!K7</f>
        <v/>
      </c>
      <c r="C12" s="34">
        <f>C11+B12</f>
        <v/>
      </c>
      <c r="E12" t="n">
        <v>6</v>
      </c>
      <c r="F12" s="34">
        <f>'CF_Calc'!K10</f>
        <v/>
      </c>
      <c r="G12" s="34">
        <f>G11+F12</f>
        <v/>
      </c>
    </row>
    <row r="13">
      <c r="A13" t="n">
        <v>7</v>
      </c>
      <c r="B13" s="34">
        <f>'CF_Calc'!L7</f>
        <v/>
      </c>
      <c r="C13" s="34">
        <f>C12+B13</f>
        <v/>
      </c>
      <c r="E13" t="n">
        <v>7</v>
      </c>
      <c r="F13" s="34">
        <f>'CF_Calc'!L10</f>
        <v/>
      </c>
      <c r="G13" s="34">
        <f>G12+F13</f>
        <v/>
      </c>
    </row>
    <row r="14">
      <c r="A14" t="n">
        <v>8</v>
      </c>
      <c r="B14" s="34">
        <f>'CF_Calc'!M7</f>
        <v/>
      </c>
      <c r="C14" s="34">
        <f>C13+B14</f>
        <v/>
      </c>
      <c r="E14" t="n">
        <v>8</v>
      </c>
      <c r="F14" s="34">
        <f>'CF_Calc'!M10</f>
        <v/>
      </c>
      <c r="G14" s="34">
        <f>G13+F14</f>
        <v/>
      </c>
    </row>
    <row r="15">
      <c r="A15" t="n">
        <v>9</v>
      </c>
      <c r="B15" s="34">
        <f>'CF_Calc'!N7</f>
        <v/>
      </c>
      <c r="C15" s="34">
        <f>C14+B15</f>
        <v/>
      </c>
      <c r="E15" t="n">
        <v>9</v>
      </c>
      <c r="F15" s="34">
        <f>'CF_Calc'!N10</f>
        <v/>
      </c>
      <c r="G15" s="34">
        <f>G14+F15</f>
        <v/>
      </c>
    </row>
    <row r="16">
      <c r="A16" t="n">
        <v>10</v>
      </c>
      <c r="B16" s="34">
        <f>'CF_Calc'!O7</f>
        <v/>
      </c>
      <c r="C16" s="34">
        <f>C15+B16</f>
        <v/>
      </c>
      <c r="E16" t="n">
        <v>10</v>
      </c>
      <c r="F16" s="34">
        <f>'CF_Calc'!O10</f>
        <v/>
      </c>
      <c r="G16" s="34">
        <f>G15+F16</f>
        <v/>
      </c>
    </row>
    <row r="17">
      <c r="A17" t="n">
        <v>11</v>
      </c>
      <c r="B17" s="34">
        <f>'CF_Calc'!P7</f>
        <v/>
      </c>
      <c r="C17" s="34">
        <f>C16+B17</f>
        <v/>
      </c>
      <c r="E17" t="n">
        <v>11</v>
      </c>
      <c r="F17" s="34">
        <f>'CF_Calc'!P10</f>
        <v/>
      </c>
      <c r="G17" s="34">
        <f>G16+F17</f>
        <v/>
      </c>
    </row>
    <row r="18">
      <c r="A18" t="n">
        <v>12</v>
      </c>
      <c r="B18" s="34">
        <f>'CF_Calc'!Q7</f>
        <v/>
      </c>
      <c r="C18" s="34">
        <f>C17+B18</f>
        <v/>
      </c>
      <c r="E18" t="n">
        <v>12</v>
      </c>
      <c r="F18" s="34">
        <f>'CF_Calc'!Q10</f>
        <v/>
      </c>
      <c r="G18" s="34">
        <f>G17+F18</f>
        <v/>
      </c>
    </row>
    <row r="19">
      <c r="A19" t="n">
        <v>13</v>
      </c>
      <c r="B19" s="34">
        <f>'CF_Calc'!R7</f>
        <v/>
      </c>
      <c r="C19" s="34">
        <f>C18+B19</f>
        <v/>
      </c>
      <c r="E19" t="n">
        <v>13</v>
      </c>
      <c r="F19" s="34">
        <f>'CF_Calc'!R10</f>
        <v/>
      </c>
      <c r="G19" s="34">
        <f>G18+F19</f>
        <v/>
      </c>
    </row>
    <row r="20">
      <c r="A20" t="n">
        <v>14</v>
      </c>
      <c r="B20" s="34">
        <f>'CF_Calc'!S7</f>
        <v/>
      </c>
      <c r="C20" s="34">
        <f>C19+B20</f>
        <v/>
      </c>
      <c r="E20" t="n">
        <v>14</v>
      </c>
      <c r="F20" s="34">
        <f>'CF_Calc'!S10</f>
        <v/>
      </c>
      <c r="G20" s="34">
        <f>G19+F20</f>
        <v/>
      </c>
    </row>
    <row r="21">
      <c r="A21" t="n">
        <v>15</v>
      </c>
      <c r="B21" s="34">
        <f>'CF_Calc'!T7</f>
        <v/>
      </c>
      <c r="C21" s="34">
        <f>C20+B21</f>
        <v/>
      </c>
      <c r="E21" t="n">
        <v>15</v>
      </c>
      <c r="F21" s="34">
        <f>'CF_Calc'!T10</f>
        <v/>
      </c>
      <c r="G21" s="34">
        <f>G20+F21</f>
        <v/>
      </c>
    </row>
    <row r="23">
      <c r="A23" s="23" t="inlineStr">
        <is>
          <t>Payback (yr)</t>
        </is>
      </c>
      <c r="B23" s="35">
        <f>'Sizing Comparison'!L7</f>
        <v/>
      </c>
      <c r="E23" s="23" t="inlineStr">
        <is>
          <t>Payback (yr)</t>
        </is>
      </c>
      <c r="F23" s="35">
        <f>'Sizing Comparison'!L10</f>
        <v/>
      </c>
    </row>
    <row r="24">
      <c r="A24" s="23" t="inlineStr">
        <is>
          <t>NPV</t>
        </is>
      </c>
      <c r="B24" s="34">
        <f>'CF_Calc'!U7</f>
        <v/>
      </c>
      <c r="E24" s="23" t="inlineStr">
        <is>
          <t>NPV</t>
        </is>
      </c>
      <c r="F24" s="34">
        <f>'CF_Calc'!U10</f>
        <v/>
      </c>
    </row>
    <row r="25">
      <c r="A25" s="23" t="inlineStr">
        <is>
          <t>IRR</t>
        </is>
      </c>
      <c r="B25" s="31">
        <f>'CF_Calc'!V7</f>
        <v/>
      </c>
      <c r="E25" s="23" t="inlineStr">
        <is>
          <t>IRR</t>
        </is>
      </c>
      <c r="F25" s="31">
        <f>'CF_Calc'!V10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Backup / Resilience — outage runtime (hours)</t>
        </is>
      </c>
    </row>
    <row r="2">
      <c r="A2" s="4" t="inlineStr">
        <is>
          <t>Usable = Energy × DoD (Assumptions!B13). Runtime = usable ÷ load served.</t>
        </is>
      </c>
    </row>
    <row r="4">
      <c r="A4" s="10" t="inlineStr">
        <is>
          <t>Energy kWh</t>
        </is>
      </c>
      <c r="B4" s="10" t="inlineStr">
        <is>
          <t>Usable kWh</t>
        </is>
      </c>
      <c r="C4" s="10" t="inlineStr">
        <is>
          <t>Winter ~48 kW</t>
        </is>
      </c>
      <c r="D4" s="10" t="inlineStr">
        <is>
          <t>Shoulder ~25 kW</t>
        </is>
      </c>
      <c r="E4" s="10" t="inlineStr">
        <is>
          <t>Summer ~5 kW</t>
        </is>
      </c>
      <c r="F4" s="10" t="inlineStr">
        <is>
          <t>Critical ~10 kW</t>
        </is>
      </c>
    </row>
    <row r="5">
      <c r="A5" s="11" t="n">
        <v>60</v>
      </c>
      <c r="B5" s="36">
        <f>A5*Assumptions!$B$13</f>
        <v/>
      </c>
      <c r="C5" s="36">
        <f>B5/48</f>
        <v/>
      </c>
      <c r="D5" s="36">
        <f>B5/25</f>
        <v/>
      </c>
      <c r="E5" s="36">
        <f>B5/5</f>
        <v/>
      </c>
      <c r="F5" s="36">
        <f>B5/10</f>
        <v/>
      </c>
    </row>
    <row r="6">
      <c r="A6" s="11" t="n">
        <v>100</v>
      </c>
      <c r="B6" s="36">
        <f>A6*Assumptions!$B$13</f>
        <v/>
      </c>
      <c r="C6" s="36">
        <f>B6/48</f>
        <v/>
      </c>
      <c r="D6" s="36">
        <f>B6/25</f>
        <v/>
      </c>
      <c r="E6" s="36">
        <f>B6/5</f>
        <v/>
      </c>
      <c r="F6" s="36">
        <f>B6/10</f>
        <v/>
      </c>
    </row>
    <row r="7">
      <c r="A7" s="11" t="n">
        <v>150</v>
      </c>
      <c r="B7" s="36">
        <f>A7*Assumptions!$B$13</f>
        <v/>
      </c>
      <c r="C7" s="36">
        <f>B7/48</f>
        <v/>
      </c>
      <c r="D7" s="36">
        <f>B7/25</f>
        <v/>
      </c>
      <c r="E7" s="36">
        <f>B7/5</f>
        <v/>
      </c>
      <c r="F7" s="36">
        <f>B7/10</f>
        <v/>
      </c>
    </row>
    <row r="8">
      <c r="A8" s="11" t="n">
        <v>200</v>
      </c>
      <c r="B8" s="36">
        <f>A8*Assumptions!$B$13</f>
        <v/>
      </c>
      <c r="C8" s="36">
        <f>B8/48</f>
        <v/>
      </c>
      <c r="D8" s="36">
        <f>B8/25</f>
        <v/>
      </c>
      <c r="E8" s="36">
        <f>B8/5</f>
        <v/>
      </c>
      <c r="F8" s="36">
        <f>B8/10</f>
        <v/>
      </c>
    </row>
    <row r="9">
      <c r="A9" s="11" t="n">
        <v>300</v>
      </c>
      <c r="B9" s="36">
        <f>A9*Assumptions!$B$13</f>
        <v/>
      </c>
      <c r="C9" s="36">
        <f>B9/48</f>
        <v/>
      </c>
      <c r="D9" s="36">
        <f>B9/25</f>
        <v/>
      </c>
      <c r="E9" s="36">
        <f>B9/5</f>
        <v/>
      </c>
      <c r="F9" s="36">
        <f>B9/10</f>
        <v/>
      </c>
    </row>
    <row r="10">
      <c r="A10" s="11" t="n">
        <v>400</v>
      </c>
      <c r="B10" s="36">
        <f>A10*Assumptions!$B$13</f>
        <v/>
      </c>
      <c r="C10" s="36">
        <f>B10/48</f>
        <v/>
      </c>
      <c r="D10" s="36">
        <f>B10/25</f>
        <v/>
      </c>
      <c r="E10" s="36">
        <f>B10/5</f>
        <v/>
      </c>
      <c r="F10" s="36">
        <f>B10/10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— Payback (yrs) of 50/150 vs demand charge &amp; battery cost</t>
        </is>
      </c>
    </row>
    <row r="2">
      <c r="A2" s="4" t="inlineStr">
        <is>
          <t>Responds to the ITC assumption. Net capex=150×$/kWh×(1−ITC); savings=238.7×demand-rate.</t>
        </is>
      </c>
    </row>
    <row r="4">
      <c r="A4" s="10" t="inlineStr">
        <is>
          <t>Demand $/kW  ↓ / Battery $/kWh →</t>
        </is>
      </c>
      <c r="B4" s="10" t="inlineStr">
        <is>
          <t>400</t>
        </is>
      </c>
      <c r="C4" s="10" t="inlineStr">
        <is>
          <t>500</t>
        </is>
      </c>
      <c r="D4" s="10" t="inlineStr">
        <is>
          <t>600</t>
        </is>
      </c>
      <c r="E4" s="10" t="inlineStr">
        <is>
          <t>700</t>
        </is>
      </c>
      <c r="F4" s="10" t="inlineStr">
        <is>
          <t>800</t>
        </is>
      </c>
    </row>
    <row r="5">
      <c r="A5" s="37" t="n">
        <v>10</v>
      </c>
      <c r="B5" s="12">
        <f>(150*400*(1-Assumptions!$B$20))/(238.7*10)</f>
        <v/>
      </c>
      <c r="C5" s="12">
        <f>(150*500*(1-Assumptions!$B$20))/(238.7*10)</f>
        <v/>
      </c>
      <c r="D5" s="12">
        <f>(150*600*(1-Assumptions!$B$20))/(238.7*10)</f>
        <v/>
      </c>
      <c r="E5" s="12">
        <f>(150*700*(1-Assumptions!$B$20))/(238.7*10)</f>
        <v/>
      </c>
      <c r="F5" s="12">
        <f>(150*800*(1-Assumptions!$B$20))/(238.7*10)</f>
        <v/>
      </c>
    </row>
    <row r="6">
      <c r="A6" s="37" t="n">
        <v>15</v>
      </c>
      <c r="B6" s="12">
        <f>(150*400*(1-Assumptions!$B$20))/(238.7*15)</f>
        <v/>
      </c>
      <c r="C6" s="12">
        <f>(150*500*(1-Assumptions!$B$20))/(238.7*15)</f>
        <v/>
      </c>
      <c r="D6" s="12">
        <f>(150*600*(1-Assumptions!$B$20))/(238.7*15)</f>
        <v/>
      </c>
      <c r="E6" s="12">
        <f>(150*700*(1-Assumptions!$B$20))/(238.7*15)</f>
        <v/>
      </c>
      <c r="F6" s="12">
        <f>(150*800*(1-Assumptions!$B$20))/(238.7*15)</f>
        <v/>
      </c>
    </row>
    <row r="7">
      <c r="A7" s="37" t="n">
        <v>20</v>
      </c>
      <c r="B7" s="12">
        <f>(150*400*(1-Assumptions!$B$20))/(238.7*20)</f>
        <v/>
      </c>
      <c r="C7" s="12">
        <f>(150*500*(1-Assumptions!$B$20))/(238.7*20)</f>
        <v/>
      </c>
      <c r="D7" s="12">
        <f>(150*600*(1-Assumptions!$B$20))/(238.7*20)</f>
        <v/>
      </c>
      <c r="E7" s="12">
        <f>(150*700*(1-Assumptions!$B$20))/(238.7*20)</f>
        <v/>
      </c>
      <c r="F7" s="12">
        <f>(150*800*(1-Assumptions!$B$20))/(238.7*20)</f>
        <v/>
      </c>
    </row>
    <row r="8">
      <c r="A8" s="37" t="n">
        <v>25.84</v>
      </c>
      <c r="B8" s="12">
        <f>(150*400*(1-Assumptions!$B$20))/(238.7*25.84)</f>
        <v/>
      </c>
      <c r="C8" s="12">
        <f>(150*500*(1-Assumptions!$B$20))/(238.7*25.84)</f>
        <v/>
      </c>
      <c r="D8" s="12">
        <f>(150*600*(1-Assumptions!$B$20))/(238.7*25.84)</f>
        <v/>
      </c>
      <c r="E8" s="12">
        <f>(150*700*(1-Assumptions!$B$20))/(238.7*25.84)</f>
        <v/>
      </c>
      <c r="F8" s="12">
        <f>(150*800*(1-Assumptions!$B$20))/(238.7*25.84)</f>
        <v/>
      </c>
    </row>
    <row r="9">
      <c r="A9" s="37" t="n">
        <v>30</v>
      </c>
      <c r="B9" s="12">
        <f>(150*400*(1-Assumptions!$B$20))/(238.7*30)</f>
        <v/>
      </c>
      <c r="C9" s="12">
        <f>(150*500*(1-Assumptions!$B$20))/(238.7*30)</f>
        <v/>
      </c>
      <c r="D9" s="12">
        <f>(150*600*(1-Assumptions!$B$20))/(238.7*30)</f>
        <v/>
      </c>
      <c r="E9" s="12">
        <f>(150*700*(1-Assumptions!$B$20))/(238.7*30)</f>
        <v/>
      </c>
      <c r="F9" s="12">
        <f>(150*800*(1-Assumptions!$B$20))/(238.7*30)</f>
        <v/>
      </c>
    </row>
    <row r="10">
      <c r="A10" s="37" t="n">
        <v>40</v>
      </c>
      <c r="B10" s="12">
        <f>(150*400*(1-Assumptions!$B$20))/(238.7*40)</f>
        <v/>
      </c>
      <c r="C10" s="12">
        <f>(150*500*(1-Assumptions!$B$20))/(238.7*40)</f>
        <v/>
      </c>
      <c r="D10" s="12">
        <f>(150*600*(1-Assumptions!$B$20))/(238.7*40)</f>
        <v/>
      </c>
      <c r="E10" s="12">
        <f>(150*700*(1-Assumptions!$B$20))/(238.7*40)</f>
        <v/>
      </c>
      <c r="F10" s="12">
        <f>(150*800*(1-Assumptions!$B$20))/(238.7*40)</f>
        <v/>
      </c>
    </row>
    <row r="12">
      <c r="A12" s="4" t="inlineStr">
        <is>
          <t>Cells = simple payback in years. Lower is better.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2026-05-28T22:30:01Z</dcterms:created>
  <dcterms:modified xsi:type="dcterms:W3CDTF">2026-05-28T22:32:07Z</dcterms:modified>
</cp:coreProperties>
</file>